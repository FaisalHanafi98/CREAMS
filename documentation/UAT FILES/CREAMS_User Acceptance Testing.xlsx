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13_ncr:1_{D02B2DBF-ABC7-4871-8B68-9389253D6F92}" xr6:coauthVersionLast="47" xr6:coauthVersionMax="47" xr10:uidLastSave="{00000000-0000-0000-0000-000000000000}"/>
  <bookViews>
    <workbookView xWindow="28680" yWindow="-120" windowWidth="29040" windowHeight="15840" xr2:uid="{00000000-000D-0000-FFFF-FFFF00000000}"/>
  </bookViews>
  <sheets>
    <sheet name="Properties" sheetId="36" r:id="rId1"/>
    <sheet name="Test Cases" sheetId="34" r:id="rId2"/>
    <sheet name="Test Run Log" sheetId="35" r:id="rId3"/>
    <sheet name="Report" sheetId="1" r:id="rId4"/>
  </sheets>
  <definedNames>
    <definedName name="_xlnm._FilterDatabase" localSheetId="1" hidden="1">'Test Cases'!$B$18:$E$314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 i="35" l="1"/>
  <c r="K10" i="35"/>
  <c r="P9" i="35"/>
  <c r="K9" i="35"/>
  <c r="P8" i="35"/>
  <c r="K8" i="35"/>
  <c r="P7" i="35"/>
  <c r="K7" i="35"/>
  <c r="P6" i="35"/>
  <c r="K6" i="35"/>
  <c r="P5" i="35"/>
  <c r="K5" i="35"/>
  <c r="P13" i="35"/>
  <c r="K13" i="35"/>
  <c r="P12" i="35"/>
  <c r="K12" i="35"/>
  <c r="P11" i="35"/>
  <c r="K11" i="35"/>
  <c r="P15" i="35"/>
  <c r="K15" i="35"/>
  <c r="E314" i="34"/>
  <c r="B128" i="34" a="1"/>
  <c r="B128" i="34" s="1"/>
  <c r="B129" i="34" a="1"/>
  <c r="B129" i="34" s="1"/>
  <c r="B130" i="34" a="1"/>
  <c r="B130" i="34" s="1"/>
  <c r="B131" i="34" a="1"/>
  <c r="B131" i="34" s="1"/>
  <c r="B313" i="34" a="1"/>
  <c r="B313" i="34" s="1"/>
  <c r="B312" i="34" a="1"/>
  <c r="B312" i="34" s="1"/>
  <c r="B311" i="34" a="1"/>
  <c r="B311" i="34" s="1"/>
  <c r="B310" i="34" a="1"/>
  <c r="B310" i="34" s="1"/>
  <c r="B309" i="34" a="1"/>
  <c r="B309" i="34" s="1"/>
  <c r="B308" i="34" a="1"/>
  <c r="B308" i="34" s="1"/>
  <c r="B307" i="34" a="1"/>
  <c r="B307" i="34" s="1"/>
  <c r="B306" i="34" a="1"/>
  <c r="B306" i="34" s="1"/>
  <c r="B305" i="34" a="1"/>
  <c r="B305" i="34" s="1"/>
  <c r="B304" i="34" a="1"/>
  <c r="B304" i="34" s="1"/>
  <c r="B303" i="34" a="1"/>
  <c r="B303" i="34" s="1"/>
  <c r="B302" i="34" a="1"/>
  <c r="B302" i="34" s="1"/>
  <c r="B301" i="34" a="1"/>
  <c r="B301" i="34" s="1"/>
  <c r="B300" i="34" a="1"/>
  <c r="B300" i="34" s="1"/>
  <c r="B299" i="34" a="1"/>
  <c r="B299" i="34" s="1"/>
  <c r="B298" i="34" a="1"/>
  <c r="B298" i="34" s="1"/>
  <c r="B297" i="34" a="1"/>
  <c r="B297" i="34" s="1"/>
  <c r="B296" i="34" a="1"/>
  <c r="B296" i="34" s="1"/>
  <c r="B295" i="34" a="1"/>
  <c r="B295" i="34" s="1"/>
  <c r="B294" i="34" a="1"/>
  <c r="B294" i="34" s="1"/>
  <c r="B293" i="34" a="1"/>
  <c r="B293" i="34" s="1"/>
  <c r="B292" i="34" a="1"/>
  <c r="B292" i="34" s="1"/>
  <c r="B291" i="34" a="1"/>
  <c r="B291" i="34" s="1"/>
  <c r="B290" i="34" a="1"/>
  <c r="B290" i="34" s="1"/>
  <c r="B289" i="34" a="1"/>
  <c r="B289" i="34" s="1"/>
  <c r="B288" i="34" a="1"/>
  <c r="B288" i="34" s="1"/>
  <c r="B287" i="34" a="1"/>
  <c r="B287" i="34" s="1"/>
  <c r="B286" i="34" a="1"/>
  <c r="B286" i="34" s="1"/>
  <c r="B285" i="34" a="1"/>
  <c r="B285" i="34" s="1"/>
  <c r="B284" i="34" a="1"/>
  <c r="B284" i="34" s="1"/>
  <c r="B283" i="34" a="1"/>
  <c r="B283" i="34" s="1"/>
  <c r="B282" i="34" a="1"/>
  <c r="B282" i="34" s="1"/>
  <c r="B281" i="34" a="1"/>
  <c r="B281" i="34" s="1"/>
  <c r="B280" i="34" a="1"/>
  <c r="B280" i="34" s="1"/>
  <c r="B279" i="34" a="1"/>
  <c r="B279" i="34" s="1"/>
  <c r="B278" i="34" a="1"/>
  <c r="B278" i="34" s="1"/>
  <c r="B277" i="34" a="1"/>
  <c r="B277" i="34" s="1"/>
  <c r="B276" i="34" a="1"/>
  <c r="B276" i="34" s="1"/>
  <c r="B275" i="34" a="1"/>
  <c r="B275" i="34" s="1"/>
  <c r="B274" i="34" a="1"/>
  <c r="B274" i="34" s="1"/>
  <c r="B273" i="34" a="1"/>
  <c r="B273" i="34" s="1"/>
  <c r="B272" i="34" a="1"/>
  <c r="B272" i="34" s="1"/>
  <c r="B271" i="34" a="1"/>
  <c r="B271" i="34" s="1"/>
  <c r="B270" i="34" a="1"/>
  <c r="B270" i="34" s="1"/>
  <c r="B269" i="34" a="1"/>
  <c r="B269" i="34" s="1"/>
  <c r="B268" i="34" a="1"/>
  <c r="B268" i="34" s="1"/>
  <c r="B267" i="34" a="1"/>
  <c r="B267" i="34" s="1"/>
  <c r="B266" i="34" a="1"/>
  <c r="B266" i="34" s="1"/>
  <c r="B265" i="34" a="1"/>
  <c r="B265" i="34" s="1"/>
  <c r="B264" i="34" a="1"/>
  <c r="B264" i="34" s="1"/>
  <c r="B263" i="34" a="1"/>
  <c r="B263" i="34" s="1"/>
  <c r="B262" i="34" a="1"/>
  <c r="B262" i="34" s="1"/>
  <c r="B261" i="34" a="1"/>
  <c r="B261" i="34" s="1"/>
  <c r="B260" i="34" a="1"/>
  <c r="B260" i="34" s="1"/>
  <c r="B259" i="34" a="1"/>
  <c r="B259" i="34" s="1"/>
  <c r="B258" i="34" a="1"/>
  <c r="B258" i="34" s="1"/>
  <c r="B257" i="34" a="1"/>
  <c r="B257" i="34" s="1"/>
  <c r="B256" i="34" a="1"/>
  <c r="B256" i="34" s="1"/>
  <c r="B255" i="34" a="1"/>
  <c r="B255" i="34" s="1"/>
  <c r="B254" i="34" a="1"/>
  <c r="B254" i="34" s="1"/>
  <c r="B253" i="34" a="1"/>
  <c r="B253" i="34" s="1"/>
  <c r="B252" i="34" a="1"/>
  <c r="B252" i="34" s="1"/>
  <c r="B251" i="34" a="1"/>
  <c r="B251" i="34" s="1"/>
  <c r="B250" i="34" a="1"/>
  <c r="B250" i="34" s="1"/>
  <c r="B249" i="34" a="1"/>
  <c r="B249" i="34" s="1"/>
  <c r="B248" i="34" a="1"/>
  <c r="B248" i="34" s="1"/>
  <c r="B247" i="34" a="1"/>
  <c r="B247" i="34" s="1"/>
  <c r="B246" i="34" a="1"/>
  <c r="B246" i="34" s="1"/>
  <c r="B245" i="34" a="1"/>
  <c r="B245" i="34" s="1"/>
  <c r="B244" i="34" a="1"/>
  <c r="B244" i="34" s="1"/>
  <c r="B243" i="34" a="1"/>
  <c r="B243" i="34" s="1"/>
  <c r="B242" i="34" a="1"/>
  <c r="B242" i="34" s="1"/>
  <c r="B241" i="34" a="1"/>
  <c r="B241" i="34" s="1"/>
  <c r="B240" i="34" a="1"/>
  <c r="B240" i="34" s="1"/>
  <c r="B239" i="34" a="1"/>
  <c r="B239" i="34" s="1"/>
  <c r="B238" i="34" a="1"/>
  <c r="B238" i="34" s="1"/>
  <c r="B237" i="34" a="1"/>
  <c r="B237" i="34" s="1"/>
  <c r="B236" i="34" a="1"/>
  <c r="B236" i="34" s="1"/>
  <c r="B235" i="34" a="1"/>
  <c r="B235" i="34" s="1"/>
  <c r="B234" i="34" a="1"/>
  <c r="B234" i="34" s="1"/>
  <c r="B233" i="34" a="1"/>
  <c r="B233" i="34" s="1"/>
  <c r="B232" i="34" a="1"/>
  <c r="B232" i="34" s="1"/>
  <c r="B231" i="34" a="1"/>
  <c r="B231" i="34" s="1"/>
  <c r="B230" i="34" a="1"/>
  <c r="B230" i="34" s="1"/>
  <c r="B229" i="34" a="1"/>
  <c r="B229" i="34" s="1"/>
  <c r="B228" i="34" a="1"/>
  <c r="B228" i="34" s="1"/>
  <c r="B227" i="34" a="1"/>
  <c r="B227" i="34" s="1"/>
  <c r="B226" i="34" a="1"/>
  <c r="B226" i="34" s="1"/>
  <c r="B225" i="34" a="1"/>
  <c r="B225" i="34" s="1"/>
  <c r="B224" i="34" a="1"/>
  <c r="B224" i="34" s="1"/>
  <c r="B223" i="34" a="1"/>
  <c r="B223" i="34" s="1"/>
  <c r="B222" i="34" a="1"/>
  <c r="B222" i="34" s="1"/>
  <c r="B221" i="34" a="1"/>
  <c r="B221" i="34" s="1"/>
  <c r="B220" i="34" a="1"/>
  <c r="B220" i="34" s="1"/>
  <c r="B219" i="34" a="1"/>
  <c r="B219" i="34" s="1"/>
  <c r="B218" i="34" a="1"/>
  <c r="B218" i="34" s="1"/>
  <c r="B217" i="34" a="1"/>
  <c r="B217" i="34" s="1"/>
  <c r="B216" i="34" a="1"/>
  <c r="B216" i="34" s="1"/>
  <c r="B215" i="34" a="1"/>
  <c r="B215" i="34" s="1"/>
  <c r="B214" i="34" a="1"/>
  <c r="B214" i="34" s="1"/>
  <c r="B213" i="34" a="1"/>
  <c r="B213" i="34" s="1"/>
  <c r="B212" i="34" a="1"/>
  <c r="B212" i="34" s="1"/>
  <c r="B211" i="34" a="1"/>
  <c r="B211" i="34" s="1"/>
  <c r="B210" i="34" a="1"/>
  <c r="B210" i="34" s="1"/>
  <c r="B209" i="34" a="1"/>
  <c r="B209" i="34" s="1"/>
  <c r="B208" i="34" a="1"/>
  <c r="B208" i="34" s="1"/>
  <c r="B207" i="34" a="1"/>
  <c r="B207" i="34" s="1"/>
  <c r="B206" i="34" a="1"/>
  <c r="B206" i="34" s="1"/>
  <c r="B205" i="34" a="1"/>
  <c r="B205" i="34" s="1"/>
  <c r="B204" i="34" a="1"/>
  <c r="B204" i="34" s="1"/>
  <c r="B203" i="34" a="1"/>
  <c r="B203" i="34" s="1"/>
  <c r="B202" i="34" a="1"/>
  <c r="B202" i="34" s="1"/>
  <c r="B201" i="34" a="1"/>
  <c r="B201" i="34" s="1"/>
  <c r="B200" i="34" a="1"/>
  <c r="B200" i="34" s="1"/>
  <c r="B199" i="34" a="1"/>
  <c r="B199" i="34" s="1"/>
  <c r="B198" i="34" a="1"/>
  <c r="B198" i="34" s="1"/>
  <c r="B197" i="34" a="1"/>
  <c r="B197" i="34" s="1"/>
  <c r="B196" i="34" a="1"/>
  <c r="B196" i="34" s="1"/>
  <c r="B195" i="34" a="1"/>
  <c r="B195" i="34" s="1"/>
  <c r="B194" i="34" a="1"/>
  <c r="B194" i="34" s="1"/>
  <c r="B193" i="34" a="1"/>
  <c r="B193" i="34" s="1"/>
  <c r="B192" i="34" a="1"/>
  <c r="B192" i="34" s="1"/>
  <c r="B191" i="34" a="1"/>
  <c r="B191" i="34" s="1"/>
  <c r="B190" i="34" a="1"/>
  <c r="B190" i="34" s="1"/>
  <c r="B189" i="34" a="1"/>
  <c r="B189" i="34" s="1"/>
  <c r="B188" i="34" a="1"/>
  <c r="B188" i="34" s="1"/>
  <c r="B187" i="34" a="1"/>
  <c r="B187" i="34" s="1"/>
  <c r="B186" i="34" a="1"/>
  <c r="B186" i="34" s="1"/>
  <c r="B185" i="34" a="1"/>
  <c r="B185" i="34" s="1"/>
  <c r="B184" i="34" a="1"/>
  <c r="B184" i="34" s="1"/>
  <c r="B183" i="34" a="1"/>
  <c r="B183" i="34" s="1"/>
  <c r="B182" i="34" a="1"/>
  <c r="B182" i="34" s="1"/>
  <c r="B181" i="34" a="1"/>
  <c r="B181" i="34" s="1"/>
  <c r="B180" i="34" a="1"/>
  <c r="B180" i="34" s="1"/>
  <c r="B179" i="34" a="1"/>
  <c r="B179" i="34" s="1"/>
  <c r="B178" i="34" a="1"/>
  <c r="B178" i="34" s="1"/>
  <c r="B177" i="34" a="1"/>
  <c r="B177" i="34" s="1"/>
  <c r="B176" i="34" a="1"/>
  <c r="B176" i="34" s="1"/>
  <c r="B175" i="34" a="1"/>
  <c r="B175" i="34" s="1"/>
  <c r="B174" i="34" a="1"/>
  <c r="B174" i="34" s="1"/>
  <c r="B173" i="34" a="1"/>
  <c r="B173" i="34" s="1"/>
  <c r="B172" i="34" a="1"/>
  <c r="B172" i="34" s="1"/>
  <c r="B171" i="34" a="1"/>
  <c r="B171" i="34" s="1"/>
  <c r="B170" i="34" a="1"/>
  <c r="B170" i="34" s="1"/>
  <c r="B169" i="34" a="1"/>
  <c r="B169" i="34" s="1"/>
  <c r="B168" i="34" a="1"/>
  <c r="B168" i="34" s="1"/>
  <c r="B167" i="34" a="1"/>
  <c r="B167" i="34" s="1"/>
  <c r="B166" i="34" a="1"/>
  <c r="B166" i="34" s="1"/>
  <c r="B165" i="34" a="1"/>
  <c r="B165" i="34" s="1"/>
  <c r="B164" i="34" a="1"/>
  <c r="B164" i="34" s="1"/>
  <c r="B163" i="34" a="1"/>
  <c r="B163" i="34" s="1"/>
  <c r="B162" i="34" a="1"/>
  <c r="B162" i="34" s="1"/>
  <c r="B161" i="34" a="1"/>
  <c r="B161" i="34" s="1"/>
  <c r="B160" i="34" a="1"/>
  <c r="B160" i="34" s="1"/>
  <c r="B159" i="34" a="1"/>
  <c r="B159" i="34" s="1"/>
  <c r="B158" i="34" a="1"/>
  <c r="B158" i="34" s="1"/>
  <c r="B157" i="34" a="1"/>
  <c r="B157" i="34" s="1"/>
  <c r="B156" i="34" a="1"/>
  <c r="B156" i="34" s="1"/>
  <c r="B155" i="34" a="1"/>
  <c r="B155" i="34" s="1"/>
  <c r="B154" i="34" a="1"/>
  <c r="B154" i="34" s="1"/>
  <c r="B153" i="34" a="1"/>
  <c r="B153" i="34" s="1"/>
  <c r="B152" i="34" a="1"/>
  <c r="B152" i="34" s="1"/>
  <c r="B151" i="34" a="1"/>
  <c r="B151" i="34" s="1"/>
  <c r="B150" i="34" a="1"/>
  <c r="B150" i="34" s="1"/>
  <c r="B149" i="34" a="1"/>
  <c r="B149" i="34" s="1"/>
  <c r="B148" i="34" a="1"/>
  <c r="B148" i="34" s="1"/>
  <c r="B147" i="34" a="1"/>
  <c r="B147" i="34" s="1"/>
  <c r="B146" i="34" a="1"/>
  <c r="B146" i="34" s="1"/>
  <c r="B145" i="34" a="1"/>
  <c r="B145" i="34" s="1"/>
  <c r="B144" i="34" a="1"/>
  <c r="B144" i="34" s="1"/>
  <c r="B143" i="34" a="1"/>
  <c r="B143" i="34" s="1"/>
  <c r="B142" i="34" a="1"/>
  <c r="B142" i="34" s="1"/>
  <c r="B141" i="34" a="1"/>
  <c r="B141" i="34" s="1"/>
  <c r="B140" i="34" a="1"/>
  <c r="B140" i="34" s="1"/>
  <c r="B139" i="34" a="1"/>
  <c r="B139" i="34" s="1"/>
  <c r="B138" i="34" a="1"/>
  <c r="B138" i="34" s="1"/>
  <c r="B137" i="34" a="1"/>
  <c r="B137" i="34" s="1"/>
  <c r="B136" i="34" a="1"/>
  <c r="B136" i="34" s="1"/>
  <c r="B135" i="34" a="1"/>
  <c r="B135" i="34" s="1"/>
  <c r="B134" i="34" a="1"/>
  <c r="B134" i="34" s="1"/>
  <c r="B133" i="34" a="1"/>
  <c r="B133" i="34" s="1"/>
  <c r="B132" i="34" a="1"/>
  <c r="B132" i="34" s="1"/>
  <c r="B127" i="34" a="1"/>
  <c r="B127" i="34" s="1"/>
  <c r="B126" i="34" a="1"/>
  <c r="B126" i="34" s="1"/>
  <c r="B125" i="34" a="1"/>
  <c r="B125" i="34" s="1"/>
  <c r="B124" i="34" a="1"/>
  <c r="B124" i="34" s="1"/>
  <c r="B123" i="34" a="1"/>
  <c r="B123" i="34" s="1"/>
  <c r="B122" i="34" a="1"/>
  <c r="B122" i="34" s="1"/>
  <c r="B121" i="34" a="1"/>
  <c r="B121" i="34" s="1"/>
  <c r="B120" i="34" a="1"/>
  <c r="B120" i="34" s="1"/>
  <c r="B119" i="34" a="1"/>
  <c r="B119" i="34" s="1"/>
  <c r="B118" i="34" a="1"/>
  <c r="B118" i="34" s="1"/>
  <c r="B117" i="34" a="1"/>
  <c r="B117" i="34" s="1"/>
  <c r="B116" i="34" a="1"/>
  <c r="B116" i="34" s="1"/>
  <c r="B115" i="34" a="1"/>
  <c r="B115" i="34" s="1"/>
  <c r="B114" i="34" a="1"/>
  <c r="B114" i="34" s="1"/>
  <c r="B113" i="34" a="1"/>
  <c r="B113" i="34" s="1"/>
  <c r="B112" i="34" a="1"/>
  <c r="B112" i="34" s="1"/>
  <c r="B111" i="34" a="1"/>
  <c r="B111" i="34" s="1"/>
  <c r="B110" i="34" a="1"/>
  <c r="B110" i="34" s="1"/>
  <c r="B109" i="34" a="1"/>
  <c r="B109" i="34" s="1"/>
  <c r="B108" i="34" a="1"/>
  <c r="B108" i="34" s="1"/>
  <c r="B107" i="34" a="1"/>
  <c r="B107" i="34" s="1"/>
  <c r="B106" i="34" a="1"/>
  <c r="B106" i="34" s="1"/>
  <c r="B105" i="34" a="1"/>
  <c r="B105" i="34" s="1"/>
  <c r="B104" i="34" a="1"/>
  <c r="B104" i="34" s="1"/>
  <c r="B103" i="34" a="1"/>
  <c r="B103" i="34" s="1"/>
  <c r="B102" i="34" a="1"/>
  <c r="B102" i="34" s="1"/>
  <c r="B101" i="34" a="1"/>
  <c r="B101" i="34" s="1"/>
  <c r="B100" i="34" a="1"/>
  <c r="B100" i="34" s="1"/>
  <c r="B99" i="34" a="1"/>
  <c r="B99" i="34" s="1"/>
  <c r="B98" i="34" a="1"/>
  <c r="B98" i="34" s="1"/>
  <c r="B97" i="34" a="1"/>
  <c r="B97" i="34" s="1"/>
  <c r="B96" i="34" a="1"/>
  <c r="B96" i="34" s="1"/>
  <c r="B95" i="34" a="1"/>
  <c r="B95" i="34" s="1"/>
  <c r="B94" i="34" a="1"/>
  <c r="B94" i="34" s="1"/>
  <c r="B93" i="34" a="1"/>
  <c r="B93" i="34" s="1"/>
  <c r="B92" i="34" a="1"/>
  <c r="B92" i="34" s="1"/>
  <c r="B91" i="34" a="1"/>
  <c r="B91" i="34" s="1"/>
  <c r="B90" i="34" a="1"/>
  <c r="B90" i="34" s="1"/>
  <c r="B89" i="34" a="1"/>
  <c r="B89" i="34" s="1"/>
  <c r="B88" i="34" a="1"/>
  <c r="B88" i="34" s="1"/>
  <c r="B87" i="34" a="1"/>
  <c r="B87" i="34" s="1"/>
  <c r="B86" i="34" a="1"/>
  <c r="B86" i="34" s="1"/>
  <c r="B85" i="34" a="1"/>
  <c r="B85" i="34" s="1"/>
  <c r="B84" i="34" a="1"/>
  <c r="B84" i="34" s="1"/>
  <c r="B83" i="34" a="1"/>
  <c r="B83" i="34" s="1"/>
  <c r="B82" i="34" a="1"/>
  <c r="B82" i="34" s="1"/>
  <c r="B81" i="34" a="1"/>
  <c r="B81" i="34" s="1"/>
  <c r="B80" i="34" a="1"/>
  <c r="B80" i="34" s="1"/>
  <c r="B79" i="34" a="1"/>
  <c r="B79" i="34" s="1"/>
  <c r="B78" i="34" a="1"/>
  <c r="B78" i="34" s="1"/>
  <c r="B77" i="34" a="1"/>
  <c r="B77" i="34" s="1"/>
  <c r="B76" i="34" a="1"/>
  <c r="B76" i="34" s="1"/>
  <c r="B75" i="34" a="1"/>
  <c r="B75" i="34" s="1"/>
  <c r="B74" i="34" a="1"/>
  <c r="B74" i="34" s="1"/>
  <c r="B73" i="34" a="1"/>
  <c r="B73" i="34" s="1"/>
  <c r="B72" i="34" a="1"/>
  <c r="B72" i="34" s="1"/>
  <c r="B71" i="34" a="1"/>
  <c r="B71" i="34" s="1"/>
  <c r="B70" i="34" a="1"/>
  <c r="B70" i="34" s="1"/>
  <c r="B69" i="34" a="1"/>
  <c r="B69" i="34" s="1"/>
  <c r="B68" i="34" a="1"/>
  <c r="B68" i="34" s="1"/>
  <c r="B67" i="34" a="1"/>
  <c r="B67" i="34" s="1"/>
  <c r="B66" i="34" a="1"/>
  <c r="B66" i="34" s="1"/>
  <c r="B65" i="34" a="1"/>
  <c r="B65" i="34" s="1"/>
  <c r="B64" i="34" a="1"/>
  <c r="B64" i="34" s="1"/>
  <c r="B63" i="34" a="1"/>
  <c r="B63" i="34" s="1"/>
  <c r="B62" i="34" a="1"/>
  <c r="B62" i="34" s="1"/>
  <c r="B61" i="34" a="1"/>
  <c r="B61" i="34" s="1"/>
  <c r="B60" i="34" a="1"/>
  <c r="B60" i="34" s="1"/>
  <c r="B59" i="34" a="1"/>
  <c r="B59" i="34" s="1"/>
  <c r="B58" i="34" a="1"/>
  <c r="B58" i="34" s="1"/>
  <c r="B57" i="34" a="1"/>
  <c r="B57" i="34" s="1"/>
  <c r="B56" i="34" a="1"/>
  <c r="B56" i="34" s="1"/>
  <c r="B55" i="34" a="1"/>
  <c r="B55" i="34" s="1"/>
  <c r="B54" i="34" a="1"/>
  <c r="B54" i="34" s="1"/>
  <c r="B53" i="34" a="1"/>
  <c r="B53" i="34" s="1"/>
  <c r="B52" i="34" a="1"/>
  <c r="B52" i="34" s="1"/>
  <c r="B51" i="34" a="1"/>
  <c r="B51" i="34" s="1"/>
  <c r="B50" i="34" a="1"/>
  <c r="B50" i="34" s="1"/>
  <c r="B49" i="34" a="1"/>
  <c r="B49" i="34" s="1"/>
  <c r="B48" i="34" a="1"/>
  <c r="B48" i="34" s="1"/>
  <c r="B47" i="34" a="1"/>
  <c r="B47" i="34" s="1"/>
  <c r="B46" i="34" a="1"/>
  <c r="B46" i="34" s="1"/>
  <c r="B45" i="34" a="1"/>
  <c r="B45" i="34" s="1"/>
  <c r="B44" i="34" a="1"/>
  <c r="B44" i="34" s="1"/>
  <c r="B43" i="34" a="1"/>
  <c r="B43" i="34" s="1"/>
  <c r="B42" i="34" a="1"/>
  <c r="B42" i="34" s="1"/>
  <c r="B41" i="34" a="1"/>
  <c r="B41" i="34" s="1"/>
  <c r="B40" i="34" a="1"/>
  <c r="B40" i="34" s="1"/>
  <c r="B39" i="34" a="1"/>
  <c r="B39" i="34" s="1"/>
  <c r="B38" i="34" a="1"/>
  <c r="B38" i="34" s="1"/>
  <c r="B37" i="34" a="1"/>
  <c r="B37" i="34" s="1"/>
  <c r="B36" i="34" a="1"/>
  <c r="B36" i="34" s="1"/>
  <c r="B35" i="34" a="1"/>
  <c r="B35" i="34" s="1"/>
  <c r="B34" i="34" a="1"/>
  <c r="B34" i="34" s="1"/>
  <c r="B33" i="34" a="1"/>
  <c r="B33" i="34" s="1"/>
  <c r="B32" i="34" a="1"/>
  <c r="B32" i="34" s="1"/>
  <c r="B31" i="34" a="1"/>
  <c r="B31" i="34" s="1"/>
  <c r="B30" i="34" a="1"/>
  <c r="B30" i="34" s="1"/>
  <c r="B29" i="34" a="1"/>
  <c r="B29" i="34" s="1"/>
  <c r="B28" i="34" a="1"/>
  <c r="B28" i="34" s="1"/>
  <c r="B27" i="34" a="1"/>
  <c r="B27" i="34" s="1"/>
  <c r="B26" i="34" a="1"/>
  <c r="B26" i="34" s="1"/>
  <c r="B25" i="34" a="1"/>
  <c r="B25" i="34" s="1"/>
  <c r="B24" i="34" a="1"/>
  <c r="B24" i="34" s="1"/>
  <c r="B23" i="34" a="1"/>
  <c r="B23" i="34" s="1"/>
  <c r="B22" i="34" a="1"/>
  <c r="B22" i="34" s="1"/>
  <c r="B21" i="34" a="1"/>
  <c r="B21" i="34" s="1"/>
  <c r="B19" i="34" a="1"/>
  <c r="B19" i="34" s="1"/>
  <c r="K16" i="35"/>
  <c r="N3" i="1"/>
  <c r="D3" i="1"/>
  <c r="D2" i="1"/>
  <c r="N2" i="1" l="1" a="1"/>
  <c r="N2" i="1" s="1"/>
  <c r="M14" i="1" l="1"/>
  <c r="L14" i="1"/>
  <c r="K14" i="1"/>
  <c r="G14" i="1"/>
  <c r="F14" i="1"/>
  <c r="C14" i="1"/>
  <c r="D14" i="1"/>
  <c r="E14" i="1"/>
  <c r="P16" i="35"/>
  <c r="P14" i="35"/>
  <c r="K14" i="35"/>
  <c r="J29" i="1"/>
  <c r="B29" i="1"/>
  <c r="J17" i="1"/>
  <c r="B17" i="1"/>
  <c r="D314" i="34"/>
  <c r="C314" i="34"/>
  <c r="N4" i="1" l="1"/>
  <c r="N5" i="1"/>
  <c r="J9" i="34"/>
  <c r="I9" i="34"/>
  <c r="B14" i="1"/>
  <c r="J7" i="1"/>
  <c r="B7" i="1"/>
  <c r="J14" i="1"/>
  <c r="G15" i="34"/>
  <c r="J8" i="34"/>
  <c r="I8" i="34"/>
  <c r="G14" i="34"/>
  <c r="B314" i="34"/>
  <c r="G13" i="34" l="1"/>
  <c r="I10" i="34"/>
  <c r="I6" i="34"/>
  <c r="J6" i="34"/>
  <c r="I5" i="34"/>
  <c r="J5" i="34"/>
  <c r="I7" i="34"/>
  <c r="J7" i="34"/>
  <c r="J11" i="34" l="1"/>
  <c r="I11" i="3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F20BEE-64B4-453F-ADDC-4D65EBAD08F9}" keepAlive="1" name="Query - CREAMS_UAT_TEST_CASES" description="Connection to the 'CREAMS_UAT_TEST_CASES' query in the workbook." type="5" refreshedVersion="0" background="1">
    <dbPr connection="Provider=Microsoft.Mashup.OleDb.1;Data Source=$Workbook$;Location=CREAMS_UAT_TEST_CASES;Extended Properties=&quot;&quot;" command="SELECT * FROM [CREAMS_UAT_TEST_CAS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<sst xmlns="http://schemas.openxmlformats.org/spreadsheetml/2006/main" count="233" uniqueCount="139">
  <si>
    <t>F</t>
  </si>
  <si>
    <t>P</t>
  </si>
  <si>
    <t>Stat</t>
  </si>
  <si>
    <t>B</t>
  </si>
  <si>
    <t>Pass</t>
  </si>
  <si>
    <t>Fail</t>
  </si>
  <si>
    <t>Blocked</t>
  </si>
  <si>
    <t>Total</t>
  </si>
  <si>
    <t>Block</t>
  </si>
  <si>
    <t>T</t>
  </si>
  <si>
    <t>To Do</t>
  </si>
  <si>
    <t>Date</t>
  </si>
  <si>
    <t>Open</t>
  </si>
  <si>
    <t>Defer</t>
  </si>
  <si>
    <t>Closed</t>
  </si>
  <si>
    <t>Pr</t>
  </si>
  <si>
    <t>Test Cases</t>
  </si>
  <si>
    <t>Status</t>
  </si>
  <si>
    <t>ToDo</t>
  </si>
  <si>
    <t>Defects</t>
  </si>
  <si>
    <t>Close</t>
  </si>
  <si>
    <t>Exec Tm</t>
  </si>
  <si>
    <r>
      <t xml:space="preserve">Test Steps </t>
    </r>
    <r>
      <rPr>
        <i/>
        <sz val="9"/>
        <color theme="1" tint="0.34998626667073579"/>
        <rFont val="Calibri"/>
        <family val="2"/>
        <scheme val="minor"/>
      </rPr>
      <t>(Use Alt+Enter to add blank lines in same cell)</t>
    </r>
  </si>
  <si>
    <t>Project:</t>
  </si>
  <si>
    <t>Count</t>
  </si>
  <si>
    <t>Company:</t>
  </si>
  <si>
    <t>PROJECT PROPERTIES</t>
  </si>
  <si>
    <t>#</t>
  </si>
  <si>
    <t>Quality Analyst:</t>
  </si>
  <si>
    <t>i</t>
  </si>
  <si>
    <t>Information</t>
  </si>
  <si>
    <r>
      <t xml:space="preserve">Exec Time </t>
    </r>
    <r>
      <rPr>
        <sz val="9"/>
        <color theme="1"/>
        <rFont val="Calibri"/>
        <family val="2"/>
        <scheme val="minor"/>
      </rPr>
      <t>(hr)</t>
    </r>
  </si>
  <si>
    <t>Open,  Stop</t>
  </si>
  <si>
    <t>Open,  Allow</t>
  </si>
  <si>
    <t>DEFECTS - CURRENTLY OPENED</t>
  </si>
  <si>
    <t>Description</t>
  </si>
  <si>
    <t>DEFECTS - CLOSED SINCE LAST REPORT</t>
  </si>
  <si>
    <t>DEFECTS - CLOSED SINCE PROJECT STARTED</t>
  </si>
  <si>
    <t>TEST RESULTS</t>
  </si>
  <si>
    <t>TEST CASES</t>
  </si>
  <si>
    <t>R1</t>
  </si>
  <si>
    <t>Test Run:</t>
  </si>
  <si>
    <t>TEST RESULTS RUN LOG</t>
  </si>
  <si>
    <t>Tested By:</t>
  </si>
  <si>
    <t>TEST RESULTS REPORT</t>
  </si>
  <si>
    <t>Total Test Cases:</t>
  </si>
  <si>
    <t>Total Defects:</t>
  </si>
  <si>
    <t>Test Run Description</t>
  </si>
  <si>
    <t>R2</t>
  </si>
  <si>
    <t>Run
#</t>
  </si>
  <si>
    <t>Q</t>
  </si>
  <si>
    <t>Qualified Pass</t>
  </si>
  <si>
    <t>Qpass</t>
  </si>
  <si>
    <t>▪</t>
  </si>
  <si>
    <t>Community-Based Rehabilitation Management System</t>
  </si>
  <si>
    <t>AUTH005 - Session Timeout and Management
1. Login with valid credentials (any role)
2. Note login timestamp
3. Navigate to different pages and verify session maintains
4. Check session cookie expiration time in browser dev tools
5. Perform Test Case 5a - Normal Activity:
   - Continue using system normally for 10 minutes
   - Verify session remains active
6. Perform Test Case 5b - Idle Timeout:
   - Leave browser open but inactive for configured timeout period (default 30 minutes)
   - Attempt to navigate to a protected page
   - Verify redirect to login with timeout message
7. Perform Test Case 5c - Session Hijacking Protection:
   - Note session cookie value
   - Open new browser/incognito window
   - Try to manually set same cookie
   - Verify security measures prevent unauthorized access
8. Test Case 5d - Concurrent Sessions:
   - Login from second browser with same credentials
   - Verify both sessions work or policy enforcement
9. Test Case 5e - Remember Me (if available):
   - Login with 'Remember Me' checked
   - Close browser and reopen
   - Verify extended session duration</t>
  </si>
  <si>
    <t>TRAIN001 - Register New Trainee with Guardian Information
1. Login as staff user (Teacher, Admin, or Supervisor)
2. Navigate to Trainee Management → Register New Trainee
3. Test Form Access and Loading:
   - Verify form loads with all sections (Personal Info, Guardian Info, Medical Info, Centre Assignment)
   - Check required field indicators display
   - Verify dropdown lists populate correctly
4. Test Personal Information Section:
   - Full Name: 'Ahmad Bin Abdullah'
   - Identity Number: '991234567890' (12-digit Malaysian IC)
   - Date of Birth: '1995-06-15' (age calculation should work)
   - Gender: 'Male'
   - Phone: '+60123456789'
   - Email: 'ahmad.abdullah@email.com'
   - Address: 'No. 123, Jalan Bukit Indah, 81200 Johor Bahru, Johor'
5. Test Identity Number Validation:
   - Verify IC format validation (12 digits)
   - Test age calculation from IC
   - Verify uniqueness validation
   - Test foreign passport number format (if supported)
6. Test Guardian Information Section:
   - Guardian Name: 'Abdullah Bin Hassan'
   - Relationship: 'Father'
   - Guardian Phone: '+60187654321'
   - Guardian Email: 'abdullah.hassan@email.com'
   - Guardian Address: 'Same as trainee' (checkbox test)
   - Emergency Contact: '+60198765432'
   - Guardian Occupation: 'Engineer'
7. Test Medical Information Section:
   - Medical Conditions: 'Mild cerebral palsy'
   - Allergies: 'None known'
   - Medications: 'Daily physiotherapy'
   - Emergency Medical Contact: 'Dr. Lee - +60123333333'
   - Medical Insurance: 'Great Eastern - Policy 123456'
8. Test Centre and Program Assignment:
   - Select Centre: 'Centre 01'
   - Select Primary Program: 'Rehabilitation Therapy'
   - Select Secondary Programs: 'Life Skills Training'
   - Assigned Counselor: Select from available staff
9. Test Form Validation:
   - Submit with missing required fields
   - Test IC number format and uniqueness
   - Verify age restrictions (if any)
   - Test email format validation
   - Test phone number format
10. Submit Registration:
    - Click 'Register Trainee'
    - Verify success message appears
    - Check confirmation details display
    - Verify trainee ID is generated
11. Test Post-Registration:
    - Verify trainee appears in trainee directory
    - Check guardian contact information stored
    - Test trainee profile displays all information
    - Verify centre assignment is correct</t>
  </si>
  <si>
    <t>R3</t>
  </si>
  <si>
    <t>R4</t>
  </si>
  <si>
    <t>R5</t>
  </si>
  <si>
    <t>R6</t>
  </si>
  <si>
    <t>R7</t>
  </si>
  <si>
    <t>R8</t>
  </si>
  <si>
    <t>R9</t>
  </si>
  <si>
    <t>R10</t>
  </si>
  <si>
    <t>R11</t>
  </si>
  <si>
    <t>R12</t>
  </si>
  <si>
    <t>HOME002 - Public Information Display
1. Navigate to About Us Section
   - Click on "About Us" from navigation menu
   - Verify URL changes appropriately
2. Test Information Display:
   - Verify organization mission statement displays
   - Check that program descriptions are complete
   - Verify contact information is accurate
   - Check that all text is readable and properly formatted
3. Test Content Accessibility:
   - Verify all sections load without authentication
   - Check that public content is not restricted
   - Verify no sensitive data is exposed
   - Test content on mobile devices
4. Test Navigation:
   - Verify ability to navigate between sections
   - Check breadcrumb navigation if applicable
   - Test "Back to Home" functionality</t>
  </si>
  <si>
    <t>CONTACT001 - Contact Us Form Submission
1. Navigate to Contact Us Page (/contact)
   - Click "Contact Us" from navigation
   - Verify form loads completely
2. Test Form Display:
   - Verify all required fields are marked with asterisk (*)
   - Check field labels are clear and visible
   - Verify form instructions are provided
   - Check that CAPTCHA/anti-spam protection displays
3. Test Form Validation:
   - Submit empty form - verify error messages appear
   - Enter invalid email format - check validation message
   - Enter phone number with letters - verify validation
   - Leave required fields empty - check error handling
   - Enter special characters in name field - verify validation
4. Test Valid Form Submission:
   - Fill in Name: "Test User"
   - Enter valid Email: "testuser@example.com"
   - Enter Phone: "+60123456789"
   - Enter Subject: "General Inquiry"
   - Enter Message: "This is a test inquiry message"
   - Submit form
5. Test Submission Confirmation:
   - Verify success message displays
   - Check that confirmation email is sent (if applicable)
   - Verify form clears after successful submission
   - Check that submission is saved in system
6. Test Error Handling:
   - Test submission with network disconnected
   - Verify appropriate error message displays
   - Check that form data is preserved after error
   - Test retry functionality</t>
  </si>
  <si>
    <t>AUTHENTICATION MODULE
AUTH001 - Standard Login Functionality
1. Navigate to Login Page (/login)
   - Click "Login" button from homepage
   - Verify login form displays correctly
   - Check page loads within 2 seconds
2. Test Login Form Display:
   - Verify username/email field is visible
   - Check password field masks characters
   - Verify "Show Password" toggle works
   - Check "Remember Me" checkbox (if applicable)
   - Verify "Forgot Password?" link is present
3. Test Login Validation:
   - Submit empty form - verify validation messages
   - Enter invalid email format - check error message
   - Enter whitespace in fields - verify trimming/validation
   - Test SQL injection attempts - verify protection
   - Test XSS attempts - verify sanitization
4. Test Invalid Login Attempts:
   - Enter valid username, wrong password - verify error
   - Enter invalid username - verify generic error message
   - Test account lockout after 5 failed attempts
   - Verify error messages don't reveal user existence
5. Test Valid Login - Administrator:
   - Username: Valid admin username
   - Password: Correct password
   - Click "Login" button
   - Verify redirect to admin dashboard
   - Check session is created
   - Verify user role is set correctly
6. Test Valid Login - Teacher:
   - Enter valid teacher credentials
   - Verify redirect to teacher dashboard
   - Check appropriate permissions are applied
7. Test Valid Login - Supervisor:
   - Enter valid supervisor credentials
   - Verify redirect to supervisor dashboard
   - Check role-specific features are accessible
8. Test Session Management:
   - Verify session timeout after 30 minutes inactivity
   - Test "Remember Me" functionality (7-day session)
   - Verify single session enforcement (optional)
   - Test concurrent login handling
9. Test Security Features:
   - Verify CSRF token is present
   - Check that password is sent over HTTPS
   - Verify session cookie is secure and HttpOnly
   - Test brute force protection</t>
  </si>
  <si>
    <t>PUBLIC ACCESS MODULE
HOME001 - Welcome/Landing Page Load and Verification
1. Navigate to Application Homepage
   - Open browser (Chrome, Firefox, Safari, Edge)
   - Navigate to the CREAMS application URL
   - Clear browser cache before testing
2. Test Initial Page Load:
   - Verify page loads within 3 seconds
   - Check that no console errors appear
   - Verify all images load correctly
   - Check that CSS styling is applied properly
   - Verify responsive design on different screen sizes
3. Test Welcome Page Content:
   - Verify page title displays correctly
   - Check that organization logo/branding appears
   - Verify welcome message is clear and visible
   - Check that navigation menu is accessible
   - Verify footer information displays
4. Test Navigation Elements:
   - Verify "About Us" link is clickable
   - Check "Contact Us" link functionality
   - Verify "Login" button is prominent and accessible
   - Test all menu items for proper linking
5. Test Performance:
   - Measure page load time (should be &lt;3 seconds)
   - Check loading indicators work properly
   - Verify smooth scrolling behavior
   - Test page on slow network connection
6. Test Accessibility:
   - Verify keyboard navigation works
   - Check screen reader compatibility
   - Verify color contrast meets standards
   - Test with browser zoom at 150% and 200%</t>
  </si>
  <si>
    <t>AUTH002 - Enhanced Login with Multi-Factor Options
1. Navigate to Enhanced Login (/enhanced-login)
   - Access the enhanced login page
   - Verify modern UI displays correctly
2. Test Enhanced Features:
   - Verify password strength indicator
   - Test "Show/Hide Password" toggle
   - Check biometric login option (if available)
   - Verify QR code login (if implemented)
3. Test Two-Factor Authentication:
   - Login with valid credentials
   - Verify 2FA prompt appears
   - Enter valid OTP code
   - Check successful authentication
   - Test invalid OTP handling
   - Verify OTP expiration (5 minutes)
4. Test Remember Device Feature:
   - Enable "Remember this device"
   - Logout and login again
   - Verify 2FA is skipped on remembered device
   - Test device trust duration (30 days)</t>
  </si>
  <si>
    <t>AUTH003 - User Registration Process
1. Navigate to Registration Page (/staffs/register)
   - Access staff registration page
   - Verify only admin can access (role check)
2. Test Registration Form Display:
   - Verify all required fields are marked
   - Check field groupings are logical
   - Verify helper text is provided
   - Check password requirements are displayed
3. Test Form Validation:
   - Test IIUM ID format validation (uppercase, correct pattern)
   - Verify email uniqueness check
   - Test password strength requirements:
     * Minimum 8 characters
     * At least one uppercase letter
     * At least one lowercase letter
     * At least one number
     * At least one special character
   - Verify password confirmation matching
4. Test Role Selection:
   - Verify Administrator option available
   - Check Teacher option available
   - Verify Supervisor option available
   - Test radio button functionality
5. Test Centre Assignment:
   - Verify centre dropdown populates
   - Check multiple centres available
   - Test required field validation
6. Test Valid Registration - Administrator:
   - IIUM ID: "ADMIN123"
   - Name: "Test Administrator"
   - Email: "admin.test@example.com"
   - Password: "SecurePass123!"
   - Confirm Password: "SecurePass123!"
   - Role: Administrator
   - Centre: Select valid centre
   - Submit form
7. Test Registration Success:
   - Verify success message displays
   - Check redirect to user list
   - Verify new user appears in system
   - Check welcome email sent (if applicable)
8. Test Duplicate Prevention:
   - Attempt to register with existing IIUM ID
   - Verify error message displays
   - Test duplicate email handling
   - Check form preserves data after error
9. Test Role-Based Registration:
   - Register Teacher account - verify limited permissions
   - Register Supervisor account - verify supervisor capabilities
   - Test that registered users can login immediately</t>
  </si>
  <si>
    <t>AUTH004 - Password Reset Flow
1. Navigate to Forgot Password Page (/forgot-password)
   - Click "Forgot Password?" link from login
   - Verify reset form displays
2. Test Password Reset Request:
   - Enter registered email address
   - Submit reset request
   - Verify success message displays
   - Check that reset email is sent
   - Verify reset token is generated
3. Test Reset Email:
   - Check email received in inbox
   - Verify reset link is present
   - Check token expiration notice (24 hours)
   - Test link formatting is correct
4. Test Reset Link Access:
   - Click reset link from email
   - Verify redirect to reset password page
   - Check token is valid
   - Verify form displays with token pre-filled
5. Test New Password Setting:
   - Enter new password: "NewSecurePass456!"
   - Confirm new password: "NewSecurePass456!"
   - Verify password strength indicator
   - Submit new password
6. Test Reset Success:
   - Verify success confirmation message
   - Check redirect to login page
   - Test login with new password succeeds
   - Verify old password no longer works
7. Test Security Validations:
   - Test expired token (after 24 hours)
   - Test already-used token
   - Verify invalid token returns error
   - Test rate limiting on reset requests</t>
  </si>
  <si>
    <t>AUTH005 - Logout Functionality
1. Test Standard Logout:
   - Click "Logout" button from any page
   - Verify confirmation prompt (optional)
   - Check session is destroyed
   - Verify redirect to homepage/login
2. Test Post-Logout Security:
   - Attempt to access protected pages after logout
   - Verify redirect to login page
   - Check browser back button doesn't restore session
   - Verify session cookie is cleared
3. Test Session Timeout Logout:
   - Login and remain inactive for 30 minutes
   - Attempt to perform an action
   - Verify automatic logout occurs
   - Check timeout warning message (if implemented)</t>
  </si>
  <si>
    <t>DASHBOARD MODULE
DASH001 - Admin Dashboard Display
1. Login as Administrator
   - Use valid admin credentials
   - Verify successful authentication
2. Navigate to Dashboard (/dashboard)
   - Check automatic redirect after login
   - Verify page loads within 2 seconds
3. Test Dashboard Widgets:
   - Verify total users count displays
   - Check total trainees count is accurate
   - Verify active activities count
   - Check attendance summary widget
   - Verify recent registrations list
   - Check system notifications panel
4. Test Statistics Display:
   - Verify charts render correctly (bar, pie, line charts)
   - Check data accuracy by comparing with database
   - Test chart interactions (hover, click)
   - Verify date range filters work
5. Test Quick Actions Panel:
   - Verify "Add New Trainee" button present
   - Check "Create Activity" shortcut works
   - Verify "Generate Report" link functions
   - Test "System Settings" access
6. Test Recent Activity Feed:
   - Verify last 10 activities display
   - Check timestamps are correct
   - Verify activity links are clickable
   - Test real-time updates (if implemented)
7. Test Navigation Sidebar:
   - Verify all menu items are accessible
   - Check active menu highlighting
   - Test menu collapse/expand functionality
   - Verify submenu navigation
8. Test Role-Based Content:
   - Verify admin-only sections are visible
   - Check that sensitive data displays appropriately
   - Test that all management options are available</t>
  </si>
  <si>
    <t>DASH002 - Teacher Dashboard Display
1. Login as Teacher
   - Use valid teacher credentials
   - Navigate to dashboard
2. Test Teacher-Specific Widgets:
   - Verify "My Classes" widget displays assigned activities
   - Check "Today's Schedule" shows current day sessions
   - Verify "My Trainees" count displays
   - Check "Pending Attendance" alerts
3. Test Limited Access:
   - Verify system administration options are hidden
   - Check that teacher can only see own classes
   - Verify financial data is not accessible
   - Test that user management is restricted
4. Test Class Management Shortcuts:
   - Verify "Mark Attendance" quick access
   - Check "View My Schedule" link
   - Test "Message Trainees" functionality</t>
  </si>
  <si>
    <t>DASH003 - Supervisor Dashboard Display
1. Login as Supervisor
   - Use valid supervisor credentials
   - Navigate to dashboard
2. Test Supervisor-Specific Features:
   - Verify oversight of assigned teachers
   - Check team performance metrics
   - Verify ability to view teacher schedules
   - Test access to teacher management options
3. Test Reporting Access:
   - Verify access to team reports
   - Check performance analytics
   - Test export functionality for supervisor reports</t>
  </si>
  <si>
    <t>DASH004 - Dashboard Responsiveness
1. Test on Desktop (1920x1080):
   - Verify full layout displays correctly
   - Check all widgets are properly sized
   - Test sidebar and content area proportions
2. Test on Tablet (768x1024):
   - Verify responsive layout adapts
   - Check sidebar collapses to hamburger menu
   - Test widget stacking behavior
3. Test on Mobile (375x667):
   - Verify mobile-optimized layout
   - Check touch-friendly controls
   - Test scrolling behavior
   - Verify no horizontal scrolling</t>
  </si>
  <si>
    <t>PROFILE MODULE
PROF001 - View User Profile
1. Navigate to Profile Page (/profile)
   - Click on user avatar/name in navigation
   - Select "My Profile" option
2. Test Profile Display:
   - Verify IIUM ID displays (read-only)
   - Check full name is correct
   - Verify email address shows
   - Check role displays correctly
   - Verify centre assignment shows
   - Check profile image displays (or default avatar)
3. Test Profile Information Layout:
   - Verify sections are clearly labeled
   - Check data is properly formatted
   - Test responsive layout on different screens</t>
  </si>
  <si>
    <t>PROF002 - Edit Profile Information
1. Navigate to Profile Page
   - Access profile edit mode
   - Click "Edit Profile" button
2. Test Edit Mode Activation:
   - Verify fields become editable
   - Check IIUM ID remains disabled (non-editable)
   - Verify edit/save buttons appear
3. Test Profile Updates:
   - Update Name: "Updated Test Name"
   - Modify Email: "updated.email@example.com"
   - Click "Save Changes"
4. Test Update Validation:
   - Attempt to enter invalid email format
   - Verify validation error appears
   - Test required field validation
   - Check special character handling in name
5. Test Update Success:
   - Verify success message displays
   - Check profile refreshes with new data
   - Verify edit mode deactivates
   - Test that changes persist after logout/login
6. Test Update Cancellation:
   - Click "Edit Profile"
   - Modify some fields
   - Click "Cancel"
   - Verify changes are discarded
   - Check original data is restored</t>
  </si>
  <si>
    <t>PROF003 - Change Password
1. Navigate to Profile Page
   - Scroll to password section
   - Click "Change Password"
2. Test Password Change Form:
   - Verify "Current Password" field displays
   - Check "New Password" field present
   - Verify "Confirm New Password" field present
   - Check password strength indicator works
3. Test Password Validation:
   - Enter wrong current password - verify error
   - Enter weak new password - check strength warning
   - Enter mismatched passwords - verify error message
   - Test password requirements enforcement
4. Test Successful Password Change:
   - Current Password: Enter correct password
   - New Password: "NewStrongPass789!"
   - Confirm Password: "NewStrongPass789!"
   - Click "Update Password"
5. Test Change Confirmation:
   - Verify success message appears
   - Check email notification sent (if applicable)
   - Test immediate logout (security feature)
   - Verify login with new password works
   - Confirm old password no longer works</t>
  </si>
  <si>
    <t>PROF004 - Update Profile Image
1. Navigate to Profile Page
   - Locate profile image section
   - Click "Change Photo" or edit icon
2. Test Image Upload:
   - Click "Browse" or upload button
   - Select valid image file (JPG, PNG)
   - Verify image preview displays
   - Click "Upload"
3. Test Image Validation:
   - Test file size limit (max 2MB)
   - Verify unsupported formats rejected (PDF, DOC)
   - Test oversized image handling
   - Check file extension validation
4. Test Upload Success:
   - Verify success message displays
   - Check new image appears immediately
   - Test image displays across all pages
   - Verify image is properly resized/cropped
5. Test Image Removal:
   - Click "Remove Photo" option
   - Verify confirmation prompt appears
   - Confirm removal
   - Check default avatar displays</t>
  </si>
  <si>
    <t>STAFF MODULE
STAFF001 - Staff Listing and Search
1. Navigate to Staff Page (/staffs)
   - Access staff management section
   - Verify page loads with staff list
2. Test Initial Staff Display:
   - Verify page loads within 2 seconds
   - Check staff members display in table/grid format
   - Verify pagination works if &gt;20 staff members
   - Check loading indicators work properly
3. Test Staff Information Display:
   - Verify each staff shows: IIUM ID, Name, Role, Email, Centre
   - Check staff status indicators (Active/Inactive)
   - Verify action buttons (View, Edit, Delete)
   - Test profile images display correctly
4. Test Search Functionality:
   - Search by Name (partial matches)
   - Search by IIUM ID
   - Search by Email
   - Test search with special characters
   - Verify search results update in real-time
5. Test Filtering Options:
   - Filter by Role: Administrator, Teacher, Supervisor
   - Filter by Centre: Test multi-centre filtering
   - Filter by Status: Active, Inactive
   - Test combined filters work correctly
6. Test Sorting Options:
   - Sort by Name (A-Z, Z-A)
   - Sort by IIUM ID
   - Sort by Role
   - Sort by Date Added (newest/oldest)
7. Test Role-Based Access:
   - Admin: Sees all staff with full management options
   - Supervisor: Sees assigned teachers only
   - Teacher: No access to staff list (redirect or error)
8. Test Pagination:
   - Test "Next" and "Previous" buttons
   - Verify page number navigation
   - Test "Items per page" dropdown (10, 25, 50, 100)
   - Check total count accuracy</t>
  </si>
  <si>
    <t>STAFF002 - Add New Staff Member
1. Navigate to Add Staff Page
   - Click "Add New Staff" button
   - Verify registration form displays
2. Test Form Completion:
   - Follow AUTH003 registration process
   - Verify all validations work
   - Test successful staff creation
3. Test Post-Creation Actions:
   - Verify new staff appears in list
   - Check welcome email sent
   - Test immediate login capability</t>
  </si>
  <si>
    <t>STAFF003 - View Staff Profile
1. From Staff List, Click "View" on a Staff Member
   - Select specific staff member
   - Click view/details button
2. Test Profile Display:
   - Verify all staff information displays
   - Check employment details
   - Verify assigned activities (for teachers)
   - Check supervision hierarchy (for supervisors)
   - Verify performance metrics (if applicable)
3. Test Related Information:
   - View assigned classes/trainees
   - Check attendance records
   - Verify activity history
   - Test document access (if applicable)</t>
  </si>
  <si>
    <t>STAFF004 - Edit Staff Information
1. Navigate to Staff Edit Page
   - Click "Edit" button on staff profile
   - Verify edit form populates with current data
2. Test Editable Fields:
   - Update Name
   - Modify Email
   - Change Role (admin privilege required)
   - Reassign Centre
   - Update Status (Active/Inactive)
3. Test Edit Restrictions:
   - Verify IIUM ID cannot be changed
   - Check supervisors can only edit assigned teachers
   - Test self-edit limitations
4. Test Edit Validation:
   - Test required field validation
   - Verify email format validation
   - Check duplicate email detection
   - Test role change permissions
5. Test Update Success:
   - Save changes
   - Verify success message
   - Check updates reflect in system
   - Verify audit trail logged</t>
  </si>
  <si>
    <t>STAFF005 - Delete/Deactivate Staff
1. Navigate to Staff Profile
   - Select staff member to delete
   - Click "Delete" or "Deactivate" button
2. Test Deletion Warning:
   - Verify confirmation dialog appears
   - Check warning about dependent data
   - Test cancellation option
3. Test Soft Delete (Deactivation):
   - Confirm deactivation
   - Verify status changes to "Inactive"
   - Check staff removed from active lists
   - Verify data is preserved
4. Test Hard Delete:
   - Confirm permanent deletion
   - Check staff removed from system
   - Verify dependent data handling:
     * Activities reassignment
     * Attendance records preservation
     * Historical data maintained
5. Test Deletion Restrictions:
   - Verify cannot delete self
   - Check admin approval required for certain roles
   - Test protection against accidental deletion</t>
  </si>
  <si>
    <t>STAFF006 - Teacher Assignment Management
1. Navigate to Teacher Profile
   - Access teacher's detail page
   - Locate assignment section
2. Test Activity Assignment:
   - Click "Assign Activity" button
   - Select activity from dropdown
   - Assign start and end dates
   - Save assignment
3. Test Assignment Display:
   - Verify assigned activities list
   - Check schedule conflicts highlighted
   - Test assignment history
4. Test Assignment Removal:
   - Click "Remove Assignment"
   - Verify confirmation prompt
   - Check impact on scheduled sessions
   - Test trainee notifications (if applicable)</t>
  </si>
  <si>
    <t>TRAINEES MODULE
TRAIN001 - Trainee Listing and Comprehensive Search
1. Navigate to Trainees Page (/trainees)
   - Access trainee management section
   - Verify page loads with trainee list
2. Test Initial Page Load:
   - Verify page loads within 3 seconds
   - Check all trainees display in grid/list view
   - Verify pagination works if &gt;20 trainees
   - Check loading indicators work properly
3. Test Trainee Display Information:
   - Verify each trainee shows: ID, Name, Age, Status, Guardian Contact
   - Check disability/condition information (if authorized)
   - Verify enrollment status and current activities
   - Test profile images display correctly
4. Test Search Functionality:
   - Search by trainee name (full and partial matches)
   - Search by unique identifier
   - Search by guardian name
   - Search by phone number
   - Test search with special characters
   - Verify search results highlight matches
5. Test Advanced Filtering:
   - Filter by Status: Active, Inactive, Graduated
   - Filter by Age Range: 0-5, 6-12, 13-18, 18+
   - Filter by Centre: Test multi-centre filtering
   - Filter by Disability Type/Condition
   - Filter by Enrollment Status
   - Test combined filters work correctly
6. Test Sorting Options:
   - Sort by Name (A-Z, Z-A)
   - Sort by Age (youngest/oldest)
   - Sort by Registration Date (newest/oldest)
   - Sort by Last Activity Date
7. Test Role-Based Viewing:
   - Admin: Sees all trainees with management options
   - Supervisor: Sees trainees in assigned centres
   - Teacher: Sees enrolled trainees in their activities
   - Test unauthorized access restrictions
8. Test Performance with Large Dataset:
   - Test with 100+ trainee records
   - Verify pagination performance
   - Check search performance
   - Test filter combination performance
   - Verify export functionality (CSV, PDF)</t>
  </si>
  <si>
    <t>TRAIN002 - Register New Trainee
1. Navigate to Trainee Registration Page (/trainees/register)
   - Click "Add New Trainee" button
   - Verify registration form displays
2. Test Registration Form Sections:
   - Personal Information section
   - Guardian/Parent Information section
   - Emergency Contact section
   - Medical/Disability Information section
   - Centre Assignment section
3. Test Personal Information Entry:
   - Enter First Name: "Test"
   - Enter Last Name: "Trainee"
   - Select Date of Birth
   - Select Gender
   - Enter unique identifier (auto-generated or manual)
4. Test Guardian Information:
   - Enter Guardian Name: "Test Guardian"
   - Enter Relationship: "Parent"
   - Enter Guardian Phone: "+60123456789"
   - Enter Guardian Email: "guardian@example.com"
   - Enter Address
5. Test Emergency Contact:
   - Enter Emergency Contact Name
   - Enter Emergency Phone (different from guardian)
   - Verify validation requires at least one contact
6. Test Medical Information Entry:
   - Select Disability/Condition Type from dropdown
   - Enter Detailed Condition Description
   - Enter Medications (if applicable)
   - Enter Allergies
   - Enter Special Requirements/Accommodations
   - Upload medical documents (optional)
7. Test Centre Assignment:
   - Select Centre from dropdown
   - Verify only accessible centres shown
   - Test required field validation
8. Test Form Validation:
   - Submit empty form - verify all required field errors
   - Enter invalid phone format - check validation
   - Enter future date of birth - verify error
   - Test age calculation from DOB
   - Verify email format validation
9. Test Successful Registration:
   - Complete all required fields
   - Upload trainee photo (optional)
   - Click "Register Trainee"
   - Verify success message displays
   - Check unique identifier is generated
   - Verify trainee appears in system
   - Test welcome packet generation (if applicable)
10. Test Post-Registration Actions:
    - Verify guardian notification sent
    - Check trainee profile is accessible
    - Test ability to immediately enroll in activities</t>
  </si>
  <si>
    <t>TRAIN003 - Edit Trainee Information
1. Navigate to Trainee Edit Page
   - Click "Edit" button on trainee profile
   - Verify edit form populates with current data
2. Test Editable Information:
   - Update personal details
   - Modify guardian information
   - Update emergency contacts
   - Update medical information
   - Change centre assignment (if applicable)
3. Test Update Validation:
   - Verify required fields cannot be cleared
   - Test email and phone format validation
   - Check date validation
   - Test duplicate identifier detection
4. Test Update Restrictions:
   - Verify unique identifier cannot be changed
   - Check authorization for medical info updates
   - Test audit trail for sensitive changes
5. Test Update Success:
   - Save all changes
   - Verify success message
   - Check updates reflect immediately
   - Verify affected parties notified (guardians)
   - Test change history logged</t>
  </si>
  <si>
    <t>TRAIN004 - Manage Trainee Status
1. Navigate to Trainee Profile
   - Access status management section
   - View current status
2. Test Status Options:
   - Active - Currently enrolled
   - Inactive - Temporarily not attending
   - Graduated - Completed program
   - Withdrawn - Left program
3. Test Status Change Process:
   - Select new status
   - Enter reason for change (required)
   - Enter effective date
   - Add notes (optional)
4. Test Status Change Validation:
   - Verify confirmation required for status change
   - Check impact warning displays (affects enrollments)
   - Test cannot set future-dated status
5. Test Status Change Effects:
   - Verify enrollment status updates
   - Check activity participation adjusted
   - Test notification sent to guardians
   - Verify reports reflect status change
   - Test reactivation process (if set to Inactive)</t>
  </si>
  <si>
    <t>TRAIN005 - Delete/Archive Trainee
1. Navigate to Trainee Profile
   - Click "Delete" or "Archive" option
   - Verify authorization required
2. Test Deletion Warning:
   - Check comprehensive warning displays
   - Verify list of affected data shown:
     * Activity enrollments
     * Attendance records
     * Progress reports
     * Medical records
   - Test cancellation option
3. Test Soft Delete (Archive):
   - Confirm archive action
   - Verify trainee moved to archive
   - Check data preservation
   - Test searchability in archive
   - Verify restore capability
4. Test Hard Delete:
   - Require super admin authorization
   - Verify permanent deletion warning
   - Check data retention policy compliance
   - Test dependent data handling
   - Verify irreversible action confirmation</t>
  </si>
  <si>
    <t>TRAIN006 - Trainee Document Management
1. Navigate to Trainee Documents Section
   - Access documents tab in trainee profile
   - Verify document list displays
2. Test Document Upload:
   - Click "Upload Document"
   - Select document type: Medical, Legal, Academic, Other
   - Choose file (PDF, DOC, JPG, PNG)
   - Enter document title
   - Add description
   - Click "Upload"
3. Test Upload Validation:
   - Test file size limit (max 10MB)
   - Verify file type restrictions
   - Check virus scanning (if implemented)
   - Test upload progress indicator
4. Test Document Access:
   - View document list
   - Click to download document
   - Test document preview
   - Verify access logging
5. Test Document Management:
   - Edit document metadata
   - Replace document with newer version
   - Delete document
   - Test version history (if applicable)
6. Test Authorization:
   - Verify only authorized users can access sensitive docs
   - Test guardian access to non-medical documents
   - Check audit trail for document access</t>
  </si>
  <si>
    <t>ACTIVITIES MODULE
ACT001 - Comprehensive Activity Listing and Filtering
1. Navigate to Activities Page (/activities)
2. Test Initial Page Load:
   - Verify page loads within 3 seconds
   - Check all activities display in grid/list view
   - Verify pagination works if &gt;20 activities
   - Check loading indicators work properly
3. Test Activity Display Information:
   - Verify each activity shows: Name, Description, Category, Status, Instructor
   - Check activity images display correctly (if applicable)
   - Verify enrollment counts are accurate
   - Check session schedules visible
   - Test 'View Details' links work
4. Test Filtering Functionality:
   - Filter by Category: Therapy, Education, Recreation, Life Skills, Sports, Arts
   - Filter by Status: Active, Inactive, Scheduled, Completed, Cancelled
   - Filter by Centre: Test multi-centre filtering
   - Filter by Instructor: Show activities by specific teacher
   - Filter by Day of Week: Monday through Sunday
   - Filter by Time Slot: Morning, Afternoon, Evening
   - Test combined filters work correctly
5. Test Search Functionality:
   - Search by activity name (partial and full matches)
   - Search by description keywords
   - Search by instructor name
   - Search by category
   - Test search with special characters
   - Verify search results highlight matches
6. Test Sorting Options:
   - Sort by Name (A-Z, Z-A)
   - Sort by Date Created (newest/oldest)
   - Sort by Enrollment Count (high to low)
   - Sort by Category alphabetically
   - Sort by Next Session Date
7. Test Role-Based Viewing:
   - Admin: Sees all activities with management options
   - Supervisor: Sees activities in assigned centres
   - Teacher: Sees assigned activities with limited options
   - Trainee/Guardian: Sees available activities for enrollment
   - Test unauthorized access restrictions
8. Test Performance with Large Dataset:
   - Test with 100+ activities
   - Verify pagination performance
   - Check search performance
   - Test filter combination performance
   - Verify smooth scrolling
9. Test Activity Cards/List Items:
   - Verify thumbnail images display
   - Check enrollment capacity displayed (5/10)
   - Test quick action buttons work
   - Verify status badges clear and visible</t>
  </si>
  <si>
    <t>ACT002 - Create New Activity
1. Navigate to Create Activity Page
   - Click "Create New Activity" button
   - Verify form displays with all required fields
2. Test Activity Basic Information:
   - Enter Activity Name: "Art Therapy Session"
   - Select Category: "Therapy"
   - Enter Description: Detailed activity description
   - Upload Activity Image
   - Select Centre
3. Test Activity Details:
   - Enter Duration: 60 minutes
   - Set Capacity: 10 trainees
   - Enter Room/Location
   - Select Required Equipment/Assets
   - Set Age Range: 6-12 years
4. Test Instructor Assignment:
   - Select Primary Instructor from dropdown
   - Assign Co-instructor (optional)
   - Verify only qualified staff shown
5. Test Schedule Creation:
   - Select Recurring or One-time
   - For Recurring:
     * Select Days of Week
     * Set Start Time: 10:00 AM
     * Set End Time: 11:00 AM
     * Enter Start Date
     * Enter End Date (or ongoing)
   - For One-time:
     * Select specific date
     * Set time
6. Test Form Validation:
   - Submit with required fields empty - verify errors
   - Enter capacity as 0 - check validation
   - Set end date before start date - verify error
   - Test schedule conflict detection
   - Verify instructor availability check
7. Test Activity Creation Success:
   - Complete all required fields
   - Click "Create Activity"
   - Verify success message displays
   - Check activity appears in activities list
   - Verify instructor notified
   - Test activity becomes available for enrollment
8. Test Activity Preview:
   - Before creating, click "Preview"
   - Verify activity displays as trainees will see it
   - Check all information formatted correctly</t>
  </si>
  <si>
    <t>ACT003 - Edit Activity Details
1. Navigate to Activity Edit Page
   - Select activity from list
   - Click "Edit" button
2. Test Editable Fields:
   - Update activity name
   - Modify description
   - Change category
   - Update capacity
   - Modify duration
   - Change location
3. Test Instructor Reassignment:
   - Change primary instructor
   - Verify conflict checking
   - Check enrolled trainee notifications
4. Test Schedule Modification:
   - Update session times
   - Modify recurring pattern
   - Change dates
5. Test Edit with Enrollments:
   - Verify warning for changes affecting enrollments
   - Test capacity reduction validation
   - Check notification to affected trainees
   - Verify instructor change notifications
6. Test Edit Restrictions:
   - Cannot reduce capacity below current enrollments
   - Cannot delete past sessions
   - Verify authorization requirements for certain changes
7. Test Update Success:
   - Save all changes
   - Verify success message
   - Check updates reflect across system
   - Verify change history logged
   - Test notifications sent</t>
  </si>
  <si>
    <t>ACT004 - Delete Activity
1. Navigate to Activity Details Page
   - Select activity to delete
   - Click "Delete" button
2. Test Deletion Warning:
   - Verify comprehensive warning displays
   - Check list of enrolled trainees shown
   - Verify scheduled sessions count
   - Check attendance records warning
   - Test cancellation option
3. Test Deletion with No Enrollments:
   - Confirm deletion
   - Verify activity removed from system
   - Check all related data cleaned up
4. Test Deletion with Active Enrollments:
   - Verify prevented or requires additional confirmation
   - Check option to "Archive" instead of delete
   - Test notification to enrolled trainees
   - Verify refund process triggered (if applicable)
5. Test Archive Option:
   - Select "Archive" instead of delete
   - Verify activity marked as archived
   - Check removed from active lists
   - Test historical data preserved
   - Verify reports still accessible
6. Test Cascade Delete Protection:
   - Verify attendance records preserved
   - Check trainee enrollment history maintained
   - Test progress reports remain accessible</t>
  </si>
  <si>
    <t>ACT005 - Activity Categories View
1. Navigate to Activities Page
   - View category filter section
2. Test Category Filtering:
   - Click "Therapy" category
   - Verify only therapy activities display
   - Check count matches filtered results
3. Test Multiple Categories:
   - Select "Education" category
   - Verify filtering updates
   - Test category switching speed
4. Test Category Display:
   - Verify all categories listed:
     * Therapy
     * Education
     * Recreation
     * Life Skills
     * Sports
     * Arts &amp; Crafts
     * Music
     * Physical Therapy
     * Occupational Therapy
   - Check activity count per category
   - Test "All Categories" option
5. Test Category Management (Admin):
   - Add new category
   - Edit category name
   - Delete unused category
   - Test category icon/color customization</t>
  </si>
  <si>
    <t>ACT006 - Create Activity Session
1. Navigate to Activity Details Page
   - Select activity
   - Click "Schedule New Session"
2. Test Session Scheduling:
   - Select Date
   - Set Start Time: 2:00 PM
   - Set End Time: 3:00 PM
   - Select Instructor (from activity instructors)
   - Set Room/Location
   - Enter Session Notes
3. Test Session Validation:
   - Check date not in past
   - Verify instructor availability
   - Check room availability
   - Test schedule conflict detection
   - Verify within activity parameters
4. Test Session Creation:
   - Click "Create Session"
   - Verify success message
   - Check session appears in schedule
   - Test enrolled trainees notified
   - Verify instructor receives notification
5. Test Recurring Session:
   - Create multiple sessions at once
   - Select date range
   - Set recurring pattern (daily, weekly)
   - Verify all sessions created correctly</t>
  </si>
  <si>
    <t>ACT007 - Enroll Trainee in Activity
1. Navigate to Activity Details Page
   - Select activity for enrollment
   - Click "Enroll Trainee"
2. Test Enrollment Form:
   - Search and select trainee
   - Verify trainee eligibility:
     * Age range match
     * No schedule conflicts
     * Available capacity
   - Enter enrollment date
   - Add enrollment notes
3. Test Capacity Validation:
   - Attempt enrollment when activity full
   - Verify waitlist option offered
   - Check capacity warning displays
4. Test Schedule Conflict Check:
   - Enroll trainee already in conflicting activity
   - Verify warning displays
   - Test override option (admin only)
5. Test Enrollment Success:
   - Complete enrollment
   - Verify success message
   - Check trainee added to participant list
   - Verify guardian notification sent
   - Test enrollment confirmation generated
6. Test Waitlist Enrollment:
   - When activity full, add to waitlist
   - Verify waitlist position displayed
   - Test automatic promotion when spot opens</t>
  </si>
  <si>
    <t>ACT008 - View Activity Schedule
1. Navigate to Schedule Page (/schedule)
   - Access schedule view
   - Verify calendar interface loads
2. Test Calendar Display:
   - Verify current month/week displays
   - Check all scheduled sessions appear
   - Test color-coding by category
   - Verify session details on hover
3. Test Date Range Selection:
   - Select specific date range
   - Test week view
   - Test month view
   - Test day view
   - Verify all sessions in range display
4. Test Schedule Filtering:
   - Filter by instructor
   - Filter by activity type
   - Filter by centre
   - Filter by trainee (shows trainee's schedule)
5. Test Session Details:
   - Click on session
   - Verify popup with full details
   - Check enrolled trainees list
   - Test attendance marking option
   - Verify session notes display
6. Test Schedule Navigation:
   - Navigate to previous week/month
   - Navigate to next week/month
   - Test "Today" button
   - Verify date picker functionality
7. Test Schedule Export:
   - Export to PDF
   - Export to Calendar (iCal)
   - Verify exported schedule accurate</t>
  </si>
  <si>
    <t>ACT009 - Weekly Schedule View
1. Navigate to Weekly View
   - Select week view option
   - Verify week layout displays
2. Test Week Layout:
   - Check Monday through Sunday columns
   - Verify time slots displayed (8 AM - 6 PM)
   - Test session blocks positioned correctly
   - Check overlapping sessions handled
3. Test Week Navigation:
   - Move to previous week
   - Move to next week
   - Jump to specific week
   - Test current week highlighting
4. Test Session Display:
   - Verify session titles visible
   - Check time displayed
   - Test instructor name shown
   - Verify enrolled count displays
5. Test Interactive Features:
   - Click session for details
   - Drag and drop to reschedule (if supported)
   - Test quick actions (mark attendance, cancel)</t>
  </si>
  <si>
    <t>ACT010 - Teacher Personal Schedule
1. Login as Teacher
   - Use teacher credentials
   - Navigate to "My Schedule"
2. Test Personal Schedule Display:
   - Verify only assigned sessions displayed
   - Check current day highlighted
   - Test upcoming sessions listed
   - Verify past sessions accessible
3. Test Session Preparation:
   - View session details
   - Check enrolled trainee list
   - Access trainee profiles
   - View lesson plans (if applicable)
   - Test material checklist
4. Test Quick Actions:
   - Mark attendance from schedule
   - Add session notes
   - Report issues
   - Request schedule changes
5. Test Schedule Notifications:
   - Verify upcoming session reminders
   - Check schedule change alerts
   - Test cancellation notifications</t>
  </si>
  <si>
    <t>ATTENDANCE MODULE
ATT001 - Mark Attendance for Session
1. Navigate to Attendance Page
   - Select activity session
   - Click "Mark Attendance"
2. Test Attendance Interface:
   - Verify enrolled trainee list displays
   - Check default status (Not Marked)
   - Test quick mark all options
3. Test Attendance Marking:
   - Mark trainee as "Present"
   - Mark trainee as "Absent"
   - Mark trainee as "Late"
   - Mark trainee as "Excused"
   - Add notes for absent/late trainees
4. Test Bulk Actions:
   - "Mark All Present" button
   - "Mark All Absent" button
   - Test undo functionality
5. Test Attendance Validation:
   - Cannot mark future sessions
   - Warning for marking very old sessions
   - Verify cannot mark twice without override
6. Test Attendance Submission:
   - Click "Submit Attendance"
   - Verify success confirmation
   - Check attendance reflected in reports
   - Test notification to guardians (for absences)
7. Test Late Attendance:
   - Mark attendance after session ended
   - Verify warning displays
   - Test requires explanation note</t>
  </si>
  <si>
    <t>ATT002 - View Attendance Reports
1. Navigate to Attendance Reports (/reports/attendance)
   - Access reporting section
   - Verify report options display
2. Test Individual Trainee Report:
   - Select trainee
   - Choose date range
   - Generate report
   - Verify attendance summary:
     * Total sessions
     * Present count
     * Absent count
     * Late count
     * Attendance percentage
3. Test Activity Attendance Report:
   - Select activity
   - Choose date range
   - Generate report
   - Verify session-by-session breakdown
   - Check average attendance rate
4. Test Centre-Wide Report:
   - Select centre
   - Generate overall attendance report
   - Verify aggregated statistics
   - Test comparison across activities
5. Test Report Visualization:
   - View attendance charts (line, bar, pie)
   - Check trend analysis
   - Test date range filtering
   - Verify data accuracy
6. Test Report Export:
   - Export to PDF
   - Export to Excel/CSV
   - Verify formatting preserved
   - Check all data included</t>
  </si>
  <si>
    <t>ATT003 - Attendance History and Trends
1. Navigate to Trainee Profile
   - Select trainee
   - Access attendance history tab
2. Test History Display:
   - Verify chronological listing
   - Check filter by activity
   - Test date range selection
   - View attendance patterns
3. Test Trend Analysis:
   - View attendance rate over time
   - Check monthly comparisons
   - Test visualization graphs
   - Identify attendance issues
4. Test Alerts:
   - Verify low attendance warning (below 75%)
   - Check consecutive absence alerts
   - Test pattern recognition
   - Generate intervention recommendations</t>
  </si>
  <si>
    <t>ATT004 - Excuse Management
1. Navigate to Attendance Record
   - Select absent record
   - Click "Add Excuse"
2. Test Excuse Entry:
   - Enter excuse reason: Illness, Family, Appointment
   - Upload supporting document (medical cert)
   - Set excuse date
   - Submit excuse
3. Test Excuse Approval:
   - Verify admin/supervisor notification
   - Test approval workflow
   - Check excuse status updates
   - Test rejection with reason
4. Test Excused Absence Handling:
   - Verify excused absences marked differently
   - Check attendance percentage calculation
   - Test reporting of excused vs unexcused</t>
  </si>
  <si>
    <t>CENTRES MODULE
CENT001 - Centre Listing
1. Navigate to Centres Page (/centres)
   - Access centre management
   - Verify centre list displays
2. Test Centre Display:
   - Verify all centres listed
   - Check centre details: Name, Location, Capacity, Status
   - Test centre statistics:
     * Total staff count
     * Total trainees
     * Active activities
   - Verify contact information
3. Test Centre Filtering:
   - Filter by Status: Active, Inactive
   - Filter by Region/District
   - Test search by name
4. Test Centre Actions:
   - View details
   - Edit centre
   - View centre dashboard
   - Access centre reports</t>
  </si>
  <si>
    <t>CENT002 - Create New Centre
1. Navigate to Create Centre Page
   - Click "Add New Centre"
   - Verify form displays
2. Test Centre Information Entry:
   - Enter Centre Name: "Test Rehabilitation Centre"
   - Enter Registration Number
   - Enter Address
   - Enter City/District
   - Enter State
   - Enter Postal Code
   - Enter Contact Phone
   - Enter Contact Email
3. Test Facility Information:
   - Enter Total Capacity
   - Enter Number of Rooms
   - Set Operating Hours
   - List Available Facilities
4. Test Form Validation:
   - Required field validation
   - Email format check
   - Phone number validation
   - Unique centre name check
5. Test Centre Creation:
   - Submit form
   - Verify success message
   - Check centre appears in list
   - Test immediate accessibility</t>
  </si>
  <si>
    <t>CENT003 - Edit Centre Information
1. Navigate to Centre Edit Page
   - Select centre
   - Click "Edit"
2. Test Information Updates:
   - Update contact information
   - Modify capacity
   - Change operating hours
   - Update facilities list
3. Test Update Validation:
   - Cannot reduce capacity below current usage
   - Verify contact info validation
   - Test change notifications
4. Test Update Success:
   - Save changes
   - Verify updates reflected
   - Check audit trail</t>
  </si>
  <si>
    <t>CENT004 - Centre Dashboard View
1. Navigate to Specific Centre Dashboard
   - Select centre
   - View centre-specific dashboard
2. Test Centre Statistics:
   - Total staff assigned
   - Total trainees enrolled
   - Active activities count
   - Capacity utilization
   - Attendance rate
3. Test Centre Calendar:
   - View centre schedule
   - Check room utilization
   - Test conflict detection
4. Test Centre Reports:
   - Generate centre performance report
   - View attendance trends
   - Check enrollment statistics
   - Test financial reports (if applicable)</t>
  </si>
  <si>
    <t>ASSETS MODULE
ASSET001 - Asset Inventory Listing
1. Navigate to Assets Page (/assets)
   - Access asset management
   - Verify inventory displays
2. Test Asset Display:
   - Verify all assets listed
   - Check details: Product Name, Code, Category, Brand, Quantity, Status
   - Test asset images display
   - Verify location information
3. Test Asset Search:
   - Search by asset name
   - Search by asset code
   - Search by category
   - Test barcode search
4. Test Asset Filtering:
   - Filter by Category: Books, Furniture, Equipment, Electronics, Toys, Educational
   - Filter by Status: Available, In Use, Maintenance, Damaged, Lost
   - Filter by Location/Centre
   - Test combined filters
5. Test Sorting Options:
   - Sort by Name
   - Sort by Quantity (low to high)
   - Sort by Date Added
   - Sort by Last Used
6. Test Asset Status Indicators:
   - Available - green badge
   - In Use - blue badge
   - Maintenance - yellow badge
   - Damaged - red badge
   - Verify status colors clear</t>
  </si>
  <si>
    <t>ASSET002 - Add New Asset
1. Navigate to Add Asset Page
   - Click "Add Asset"
   - Verify form displays
2. Test Asset Information Entry:
   - Enter Product Name: "Wooden Chair"
   - Enter Asset Code: "C1" (or auto-generate)
   - Select Category: "Furniture"
   - Enter Brand Name: "Karu"
   - Enter Price: 50
   - Enter Quantity: 13
   - Enter Description/Notes
3. Test Asset Location:
   - Select Centre
   - Enter Room/Area
   - Set Default Location
4. Test Asset Documentation:
   - Upload asset image
   - Attach purchase receipt
   - Add warranty information
   - Enter purchase date
5. Test Form Validation:
   - Required fields check
   - Unique code validation
   - Quantity must be positive
   - Price format validation
6. Test Asset Creation:
   - Submit form
   - Verify success message
   - Check asset appears in inventory
   - Test barcode generation (if applicable)</t>
  </si>
  <si>
    <t>ASSET003 - Edit Asset Details
1. Navigate to Asset Edit Page
   - Select asset
   - Click "Edit" button
2. Test Editable Information:
   - Update quantity
   - Modify price
   - Change category
   - Update location
   - Modify notes
3. Test Quantity Adjustments:
   - Increase quantity (new purchase)
   - Decrease quantity (damaged/lost)
   - Verify quantity history logged
4. Test Status Change:
   - Change from Available to Maintenance
   - Update status to Damaged
   - Test status change notifications
5. Test Update Validation:
   - Cannot set negative quantity
   - Verify unique code maintained
   - Test change approval (for certain fields)</t>
  </si>
  <si>
    <t>ASSET004 - Delete Asset
1. Navigate to Asset Details
   - Select asset to delete
   - Click "Delete"
2. Test Deletion Warning:
   - Check warning for assets in use
   - Verify usage history warning
   - Test cancellation option
3. Test Deletion Restrictions:
   - Cannot delete asset currently in use
   - Verify must return/resolve before deletion
   - Test admin approval required
4. Test Deletion Success:
   - Confirm deletion
   - Verify asset removed
   - Check usage history preserved</t>
  </si>
  <si>
    <t>ASSET005 - Asset Assignment to Activity
1. Navigate to Asset Page
   - Select asset
   - Click "Assign to Activity"
2. Test Assignment:
   - Select activity
   - Enter quantity to assign
   - Set assignment date
   - Enter expected return date
3. Test Assignment Validation:
   - Verify sufficient quantity available
   - Check activity exists and is active
   - Test date validation
4. Test Assignment Tracking:
   - Verify asset status updates to "In Use"
   - Check available quantity reduced
   - Test assignment appears in activity details
5. Test Asset Return:
   - Mark asset as returned
   - Verify quantity updated
   - Check status returns to Available
   - Test damage reporting during return</t>
  </si>
  <si>
    <t>ASSET006 - Asset Maintenance Tracking
1. Navigate to Asset Details
   - Select asset
   - Access maintenance section
2. Test Maintenance Schedule:
   - Set maintenance date
   - Enter maintenance type: Routine, Repair, Inspection
   - Add maintenance notes
   - Set next maintenance date
3. Test Maintenance Recording:
   - Record maintenance performed
   - Upload maintenance receipts
   - Enter cost
   - Update asset condition
4. Test Maintenance Alerts:
   - Verify due maintenance notifications
   - Check overdue maintenance warnings
   - Test maintenance history display</t>
  </si>
  <si>
    <t>LETTERS MODULE
LETT001 - Letter Template Management
1. Navigate to Letters Page (/letters)
   - Access letter management
   - Verify template list displays
2. Test Template Listing:
   - View all available templates
   - Check template categories:
     * Welcome Letter
     * Enrollment Confirmation
     * Progress Report
     * Activity Certificate
     * Attendance Warning
   - Test template preview
3. Test Template Creation:
   - Click "Create Template"
   - Enter template name
   - Select template type
   - Design letter content
   - Add placeholders: {{trainee_name}}, {{activity_name}}, {{date}}
   - Save template
4. Test Template Editing:
   - Select template
   - Modify content
   - Update placeholders
   - Save changes
   - Test version history</t>
  </si>
  <si>
    <t>LETT002 - Generate Letter from Template
1. Navigate to Trainee Profile or Activity
   - Click "Generate Letter"
   - Select template
2. Test Letter Generation:
   - Verify template loads
   - Check placeholders auto-filled:
     * Trainee name
     * Guardian name
     * Activity details
     * Dates
     * Centre information
   - Preview generated letter
3. Test Letter Customization:
   - Edit auto-filled content if needed
   - Add custom notes
   - Modify formatting
   - Add signature
4. Test Letter Actions:
   - Print letter
   - Download as PDF
   - Email to guardian
   - Save to trainee documents
5. Test Bulk Generation:
   - Select multiple trainees
   - Generate letters for all
   - Verify accurate personalization
   - Test batch download/email</t>
  </si>
  <si>
    <t>LETT003 - Letter History and Tracking
1. Navigate to Letter History
   - View sent letters
   - Filter by type/date/recipient
2. Test Letter Tracking:
   - View delivery status
   - Check opened/read status (if email)
   - Verify sent date and time
   - Test resend functionality
3. Test Letter Archive:
   - Search historical letters
   - Filter by trainee
   - Export letter history
   - Access archived letters</t>
  </si>
  <si>
    <t>MSG002 - View Message History
1. Navigate to Messages Page (/messages)
   - Access messaging center
   - Verify message threads display
2. Test Message Inbox:
   - View received messages (if reply enabled)
   - Check sent messages
   - Filter by status: Sent, Delivered, Read, Failed
   - Search messages
3. Test Message Thread:
   - Click on conversation
   - View full message history with guardian
   - Check chronological order
   - Test attachments download
4. Test Message Actions:
   - Reply to message
   - Forward message
   - Delete message
   - Archive conversation</t>
  </si>
  <si>
    <t>MSG003 - Notification Settings
1. Navigate to Notification Settings
   - Access user settings
   - Locate notification preferences
2. Test Notification Types:
   - Email notifications
   - SMS notifications
   - In-app notifications
   - Push notifications (if mobile)
3. Test Notification Preferences:
   - New enrollment
   - Attendance alerts
   - Schedule changes
   - Low attendance warnings
   - System updates
4. Test Notification Customization:
   - Enable/disable per type
   - Set frequency: Immediate, Daily Digest, Weekly Summary
   - Test quiet hours setting
   - Verify preferences save</t>
  </si>
  <si>
    <t>SYS002 - System Backup and Restore
1. Navigate to Backup Settings
   - Access system maintenance
   - Verify backup options
2. Test Manual Backup:
   - Click "Create Backup Now"
   - Select backup scope: Full, Database Only, Files Only
   - Verify backup progress indicator
   - Check backup completion message
   - Test backup download
3. Test Automatic Backup:
   - Configure backup schedule
   - Set backup frequency: Daily, Weekly
   - Set backup retention: 7 days, 30 days
   - Verify schedule saves
4. Test Backup List:
   - View all backups
   - Check backup size and date
   - Test backup download
   - Verify backup integrity check
5. Test Restore Process:
   - Select backup to restore
   - Verify warning message
   - Confirm restore
   - Test system recovery
   - Verify data integrity post-restore</t>
  </si>
  <si>
    <t>SYS003 - Audit Log Review
1. Navigate to Audit Logs (/logs)
   - Access system logs
   - Verify log display
2. Test Log Entries:
   - View all system activities
   - Check user actions logged
   - Verify timestamps accurate
   - Test log detail view
3. Test Log Filtering:
   - Filter by User
   - Filter by Action: Create, Update, Delete, Login, Logout
   - Filter by Module: Staff, Trainees, Activities, etc.
   - Filter by Date Range
4. Test Log Search:
   - Search by user name
   - Search by action type
   - Search by record ID
   - Test keyword search
5. Test Log Export:
   - Export filtered logs
   - Download as CSV
   - Verify all data included
   - Test date range export
6. Test Critical Actions:
   - Verify sensitive actions flagged:
     * User deletion
     * Permission changes
     * Data exports
     * System settings modified</t>
  </si>
  <si>
    <t>SYS004 - System Performance Monitoring
1. Navigate to System Dashboard
   - Access performance monitoring
   - Verify metrics display
2. Test Performance Metrics:
   - View server uptime
   - Check database size
   - Monitor active users
   - Test response time graphs
3. Test Resource Monitoring:
   - CPU usage
   - Memory usage
   - Storage capacity
   - Network bandwidth
4. Test Performance Alerts:
   - Verify slow query alerts
   - Check high resource usage warnings
   - Test downtime notifications</t>
  </si>
  <si>
    <t>SYS005 - System Configuration
1. Navigate to System Settings
   - Access general settings
   - Verify configuration options
2. Test General Settings:
   - Organization name
   - System logo upload
   - Contact information
   - Operating hours
   - Fiscal year settings
3. Test Email Configuration:
   - SMTP settings
   - From email address
   - Test email functionality
   - Verify email templates
4. Test Security Settings:
   - Session timeout duration
   - Password policy:
     * Minimum length
     * Complexity requirements
     * Expiration period
     * History check
   - Login attempt limits
   - IP whitelist (if applicable)
5. Test Integration Settings:
   - SMS gateway configuration
   - Payment gateway (if applicable)
   - Calendar integration
   - External APIs
6. Test Settings Validation:
   - Required field checks
   - Format validation
   - Test connectivity
   - Verify settings save</t>
  </si>
  <si>
    <t>CROSS002 - Data Consistency Across Modules
1. Create Test Scenario:
   - Add new trainee
   - Enroll in multiple activities
   - Mark attendance
   - Generate reports
2. Test Data Synchronization:
   - Verify trainee count updates in dashboard
   - Check enrollment count in activity details
   - Verify attendance reflected in reports
   - Test real-time updates
3. Test Data Modification Impact:
   - Edit trainee information
   - Verify updates across all modules
   - Check report accuracy
   - Test historical data preserved</t>
  </si>
  <si>
    <t>CROSS003 - Role-Based Access Control (RBAC)
1. Test Administrator Access:
   - Login as admin
   - Verify full system access
   - Check all CRUD operations available
   - Test system settings access
2. Test Teacher Access:
   - Login as teacher
   - Verify limited to assigned activities
   - Check cannot access user management
   - Test cannot modify system settings
3. Test Supervisor Access:
   - Login as supervisor
   - Verify centre-level access
   - Check teacher management available
   - Test report access for assigned centre
4. Test Access Violations:
   - Attempt unauthorized direct URL access
   - Verify redirect or error message
   - Test API endpoint protection
   - Check audit log records attempts</t>
  </si>
  <si>
    <t>CROSS004 - System Integration Testing
1. Test Module Interactions:
   - Create activity → affects schedule
   - Mark attendance → updates reports
   - Modify trainee status → affects enrollments
   - Delete activity → impacts trainees
2. Test Notification Flow:
   - Activity created → instructor notified
   - Trainee enrolled → guardian notified
   - Attendance marked → updates sent
   - Schedule changed → all parties notified
3. Test Report Generation:
   - Activity report pulls attendance data
   - Trainee report includes all modules
   - Centre report aggregates all activities
   - System report includes audit logs</t>
  </si>
  <si>
    <t>CROSS005 - Performance and Load Testing
1. Test with Multiple Concurrent Users:
   - Simulate 50 concurrent logins
   - Test simultaneous form submissions
   - Check database query performance
   - Verify no data corruption
2. Test Large Dataset Performance:
   - Load 500+ trainees
   - Create 100+ activities
   - Generate reports with full dataset
   - Test search and filter performance
3. Test Peak Usage Scenarios:
   - Attendance marking during class hours
   - Report generation end of month
   - Bulk enrollment at term start
   - Verify system remains responsive</t>
  </si>
  <si>
    <t>TEST EXECUTION SUMMARY
**Total Test Cases:** 69
**Estimated Total Testing Time:** 520+ minutes (8+ hours)
**Priority Breakdown:**
- High Priority: 42 tests
- Medium Priority: 20 tests
- Low Priority: 7 tests
**Testing Phases:**
- Phase 1: Public Access &amp; Authentication (15 tests)
- Phase 2: Core Modules - Profile, Staff, Trainees (25 tests)
- Phase 3: Operational Modules - Activities, Attendance (18 tests)
- Phase 4: Support Modules - Centres, Assets, Letters (11 tests)
- Phase 5: Cross-Functional &amp; System Tests (10 tests)
**Recommended Testing Sequence:**
1. Public Access and Authentication (Foundation)
2. User Management (Staff, Profiles)
3. Trainee Management
4. Activities and Scheduling
5. Attendance Tracking
6. Supporting Features
7. Integration and Cross-Functional Tests</t>
  </si>
  <si>
    <t>NOTES FOR TESTERS
**Prerequisites:**
- Test environment with clean database
- Sample data populated (users, centres, categories)
- Multiple user accounts with different roles
- Test email/SMS accounts for notifications
- Document management system accessible
- Backup of production data (if testing on production)
**Best Practices:**
- Clear browser cache between major test sections
- Use different browsers (Chrome, Firefox, Safari, Edge)
- Test on multiple devices (desktop, tablet, mobile)
- Document any bugs with screenshots
- Note performance issues with timestamps
- Keep track of test data used
- Reset test environment after each phase
**Critical Areas Requiring Extra Attention:**
- Authentication and session management
- Role-based access control
- Data validation across all forms
- Notification delivery
- Report accuracy
- Data consistency across modules
- Performance with large datasets</t>
  </si>
  <si>
    <t>CROSS-FUNCTIONAL TESTS
CROSS001 - Complete User Journey - New Trainee Enrollment
1. Start at Homepage
   - Access public website
2. Administrator Login:
   - Navigate to login
   - Enter admin credentials
   - Access dashboard
3. Register New Trainee:
   - Navigate to trainee registration
   - Complete all required information
   - Upload documents
   - Submit registration
4. Enroll in Activity:
   - Search for suitable activity
   - Enroll trainee
   - Verify enrollment confirmation
5. View Schedule:
   - Check trainee's schedule
   - Verify activity appears
   - Confirm dates and times
6. Generate Welcome Letter:
   - Create welcome letter
   - Email to guardian
   - Save to trainee documents
7. Verify Complete Flow:
   - Check trainee profile complete
   - Verify all data accurate
   - Test guardian notification received</t>
  </si>
  <si>
    <t>SYSTEM MODULE
SYS001 - User Role Management
1. Navigate to System Settings (/settings)
   - Access role management
   - Verify roles listed
2. Test Role Display:
   - View all system roles:
     * Administrator
     * Supervisor
     * Teacher
     * Trainee (read-only)
   - Check permissions per role
3. Test Role Permissions:
   - View admin permissions (full access)
   - Check supervisor permissions (centre-level)
   - View teacher permissions (activity-level)
   - Test permission inheritance
4. Test Permission Modification:
   - Select role
   - Modify permissions
   - Test permission conflicts
   - Save changes
   - Verify changes reflected</t>
  </si>
  <si>
    <t>MESSAGING MODULE
MSG001 - Send Message to Guardian
1. Navigate to Trainee Profile
   - Click "Send Message" or "Contact Guardian"
   - Verify message form displays
2. Test Message Composition:
   - Auto-fill guardian contact
   - Select message type: SMS, Email, Both
   - Enter subject (for email)
   - Enter message content
   - Attach files (for email, max 5MB)
3. Test Message Templates:
   - Select from pre-defined templates
   - Customize template content
   - Save as new template option
4. Test Message Validation:
   - Required field checks
   - Character limit for SMS (160 chars)
   - Email format validation
   - Attachment size/type validation
5. Test Message Sending:
   - Click "Send"
   - Verify sending confirmation
   - Check delivery status
   - Test message logged in history
6. Test Bulk Messaging:
   - Select multiple guardians
   - Compose group message
   - Verify personalization works
   - Test delivery to all recipients</t>
  </si>
  <si>
    <t>PPDK IIUM Gombak</t>
  </si>
  <si>
    <t>[Tester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</si>
</sst>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h"/>
    <numFmt numFmtId="165" formatCode="0\ \m"/>
    <numFmt numFmtId="166" formatCode="yyyy\-mm\-dd;@"/>
    <numFmt numFmtId="167" formatCode="0.0"/>
  </numFmts>
  <fonts count="25" x14ac:knownFonts="1">
    <font>
      <sz val="11"/>
      <color theme="1"/>
      <name val="Calibri"/>
      <family val="2"/>
      <scheme val="minor"/>
    </font>
    <font>
      <b/>
      <sz val="11"/>
      <color theme="1"/>
      <name val="Calibri"/>
      <family val="2"/>
      <scheme val="minor"/>
    </font>
    <font>
      <sz val="9"/>
      <color theme="1"/>
      <name val="Calibri"/>
      <family val="2"/>
      <scheme val="minor"/>
    </font>
    <font>
      <sz val="9"/>
      <name val="Arial"/>
      <family val="2"/>
    </font>
    <font>
      <sz val="11"/>
      <name val="Calibri"/>
      <family val="2"/>
      <scheme val="minor"/>
    </font>
    <font>
      <b/>
      <u/>
      <sz val="11"/>
      <color theme="1"/>
      <name val="Calibri"/>
      <family val="2"/>
      <scheme val="minor"/>
    </font>
    <font>
      <sz val="11"/>
      <color rgb="FFC00000"/>
      <name val="Calibri"/>
      <family val="2"/>
      <scheme val="minor"/>
    </font>
    <font>
      <b/>
      <sz val="11"/>
      <color theme="0" tint="-0.499984740745262"/>
      <name val="Calibri"/>
      <family val="2"/>
      <scheme val="minor"/>
    </font>
    <font>
      <sz val="10"/>
      <color theme="1"/>
      <name val="Calibri"/>
      <family val="2"/>
      <scheme val="minor"/>
    </font>
    <font>
      <i/>
      <sz val="9"/>
      <color theme="1" tint="0.34998626667073579"/>
      <name val="Calibri"/>
      <family val="2"/>
      <scheme val="minor"/>
    </font>
    <font>
      <sz val="10"/>
      <name val="Calibri"/>
      <family val="2"/>
      <scheme val="minor"/>
    </font>
    <font>
      <b/>
      <sz val="10"/>
      <name val="Calibri"/>
      <family val="2"/>
      <scheme val="minor"/>
    </font>
    <font>
      <b/>
      <sz val="12"/>
      <color theme="0"/>
      <name val="Calibri"/>
      <family val="2"/>
      <scheme val="minor"/>
    </font>
    <font>
      <sz val="8"/>
      <name val="Calibri"/>
      <family val="2"/>
      <scheme val="minor"/>
    </font>
    <font>
      <b/>
      <u/>
      <sz val="11"/>
      <color rgb="FFC00000"/>
      <name val="Calibri"/>
      <family val="2"/>
      <scheme val="minor"/>
    </font>
    <font>
      <sz val="9"/>
      <color rgb="FFC00000"/>
      <name val="Calibri"/>
      <family val="2"/>
      <scheme val="minor"/>
    </font>
    <font>
      <b/>
      <u/>
      <sz val="12"/>
      <color rgb="FFC00000"/>
      <name val="Calibri"/>
      <family val="2"/>
      <scheme val="minor"/>
    </font>
    <font>
      <b/>
      <sz val="11"/>
      <name val="Calibri"/>
      <family val="2"/>
      <scheme val="minor"/>
    </font>
    <font>
      <sz val="12"/>
      <color theme="1"/>
      <name val="Calibri"/>
      <family val="2"/>
      <scheme val="minor"/>
    </font>
    <font>
      <b/>
      <sz val="9"/>
      <color theme="0"/>
      <name val="Calibri"/>
      <family val="2"/>
      <scheme val="minor"/>
    </font>
    <font>
      <b/>
      <sz val="9"/>
      <color theme="1"/>
      <name val="Calibri"/>
      <family val="2"/>
      <scheme val="minor"/>
    </font>
    <font>
      <sz val="9"/>
      <color theme="0" tint="-0.499984740745262"/>
      <name val="Calibri"/>
      <family val="2"/>
      <scheme val="minor"/>
    </font>
    <font>
      <b/>
      <sz val="18"/>
      <color theme="0"/>
      <name val="Calibri"/>
      <family val="2"/>
      <scheme val="minor"/>
    </font>
    <font>
      <sz val="11"/>
      <color rgb="FF7030A0"/>
      <name val="Calibri"/>
      <family val="2"/>
      <scheme val="minor"/>
    </font>
    <font>
      <b/>
      <sz val="9"/>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theme="1"/>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FFE7"/>
        <bgColor indexed="64"/>
      </patternFill>
    </fill>
    <fill>
      <patternFill patternType="solid">
        <fgColor rgb="FF00B0F0"/>
        <bgColor indexed="64"/>
      </patternFill>
    </fill>
    <fill>
      <patternFill patternType="solid">
        <fgColor rgb="FF00B050"/>
        <bgColor indexed="64"/>
      </patternFill>
    </fill>
    <fill>
      <patternFill patternType="solid">
        <fgColor theme="1" tint="0.34998626667073579"/>
        <bgColor indexed="64"/>
      </patternFill>
    </fill>
    <fill>
      <patternFill patternType="solid">
        <fgColor rgb="FF00E266"/>
        <bgColor indexed="64"/>
      </patternFill>
    </fill>
  </fills>
  <borders count="32">
    <border>
      <left/>
      <right/>
      <top/>
      <bottom/>
      <diagonal/>
    </border>
    <border>
      <left style="thin">
        <color indexed="64"/>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34998626667073579"/>
      </right>
      <top style="thin">
        <color theme="0" tint="-0.34998626667073579"/>
      </top>
      <bottom style="thin">
        <color theme="0"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0" tint="-0.34998626667073579"/>
      </right>
      <top/>
      <bottom style="thin">
        <color theme="1"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indexed="64"/>
      </top>
      <bottom/>
      <diagonal/>
    </border>
    <border>
      <left/>
      <right style="thin">
        <color indexed="64"/>
      </right>
      <top style="thin">
        <color indexed="64"/>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499984740745262"/>
      </left>
      <right style="thin">
        <color theme="0" tint="-0.499984740745262"/>
      </right>
      <top style="thin">
        <color theme="0" tint="-0.499984740745262"/>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114">
    <xf numFmtId="0" fontId="0" fillId="0" borderId="0" xfId="0"/>
    <xf numFmtId="0" fontId="0" fillId="2" borderId="0" xfId="0" applyFill="1"/>
    <xf numFmtId="0" fontId="0" fillId="2" borderId="0" xfId="0" applyFill="1" applyAlignment="1">
      <alignment wrapText="1"/>
    </xf>
    <xf numFmtId="0" fontId="0" fillId="2" borderId="0" xfId="0" applyFill="1" applyAlignment="1">
      <alignment horizontal="center" vertical="top"/>
    </xf>
    <xf numFmtId="0" fontId="5" fillId="2" borderId="0" xfId="0" applyFont="1" applyFill="1" applyAlignment="1">
      <alignment horizontal="center"/>
    </xf>
    <xf numFmtId="0" fontId="4" fillId="2" borderId="0" xfId="0" applyFont="1" applyFill="1" applyAlignment="1">
      <alignment horizontal="center" vertical="top"/>
    </xf>
    <xf numFmtId="0" fontId="4" fillId="2" borderId="0" xfId="0" applyFont="1" applyFill="1"/>
    <xf numFmtId="0" fontId="4" fillId="2" borderId="0" xfId="0" applyFont="1" applyFill="1" applyAlignment="1">
      <alignment wrapText="1"/>
    </xf>
    <xf numFmtId="0" fontId="0" fillId="2" borderId="0" xfId="0" applyFill="1" applyAlignment="1">
      <alignment horizontal="center"/>
    </xf>
    <xf numFmtId="0" fontId="0" fillId="10" borderId="0" xfId="0" applyFill="1"/>
    <xf numFmtId="0" fontId="0" fillId="5" borderId="0" xfId="0" applyFill="1"/>
    <xf numFmtId="0" fontId="0" fillId="11" borderId="0" xfId="0" applyFill="1"/>
    <xf numFmtId="0" fontId="7" fillId="11" borderId="0" xfId="0" applyFont="1" applyFill="1" applyAlignment="1">
      <alignment horizontal="right"/>
    </xf>
    <xf numFmtId="3" fontId="3" fillId="3" borderId="8" xfId="0" applyNumberFormat="1" applyFont="1" applyFill="1" applyBorder="1" applyAlignment="1">
      <alignment horizontal="right" vertical="center" wrapText="1"/>
    </xf>
    <xf numFmtId="0" fontId="0" fillId="12" borderId="0" xfId="0" applyFill="1" applyAlignment="1">
      <alignment horizontal="left"/>
    </xf>
    <xf numFmtId="166" fontId="0" fillId="12" borderId="12" xfId="0" applyNumberFormat="1" applyFill="1" applyBorder="1" applyAlignment="1">
      <alignment horizontal="center"/>
    </xf>
    <xf numFmtId="0" fontId="2" fillId="8" borderId="17" xfId="0" applyFont="1" applyFill="1" applyBorder="1" applyAlignment="1">
      <alignment horizontal="right" wrapText="1"/>
    </xf>
    <xf numFmtId="0" fontId="8" fillId="2" borderId="0" xfId="0" applyFont="1" applyFill="1" applyAlignment="1">
      <alignment horizontal="right"/>
    </xf>
    <xf numFmtId="0" fontId="0" fillId="2" borderId="0" xfId="0" applyFill="1" applyAlignment="1">
      <alignment vertical="top" wrapText="1"/>
    </xf>
    <xf numFmtId="0" fontId="10" fillId="4" borderId="8" xfId="0" applyFont="1" applyFill="1" applyBorder="1" applyAlignment="1">
      <alignment horizontal="center" vertical="top" wrapText="1"/>
    </xf>
    <xf numFmtId="164" fontId="10" fillId="2" borderId="8" xfId="0" applyNumberFormat="1" applyFont="1" applyFill="1" applyBorder="1" applyAlignment="1">
      <alignment horizontal="right" vertical="center" wrapText="1"/>
    </xf>
    <xf numFmtId="0" fontId="10" fillId="2" borderId="8" xfId="0" applyFont="1" applyFill="1" applyBorder="1" applyAlignment="1">
      <alignment horizontal="right" vertical="center" wrapText="1"/>
    </xf>
    <xf numFmtId="0" fontId="10" fillId="4" borderId="3" xfId="0" applyFont="1" applyFill="1" applyBorder="1" applyAlignment="1">
      <alignment horizontal="center" vertical="top" wrapText="1"/>
    </xf>
    <xf numFmtId="164" fontId="10" fillId="2" borderId="3" xfId="0" applyNumberFormat="1" applyFont="1" applyFill="1" applyBorder="1" applyAlignment="1">
      <alignment horizontal="right" vertical="center" wrapText="1"/>
    </xf>
    <xf numFmtId="0" fontId="0" fillId="2" borderId="0" xfId="0" applyFill="1" applyAlignment="1">
      <alignment vertical="top"/>
    </xf>
    <xf numFmtId="164" fontId="11" fillId="2" borderId="3" xfId="0" applyNumberFormat="1" applyFont="1" applyFill="1" applyBorder="1" applyAlignment="1">
      <alignment horizontal="right" vertical="center" wrapText="1"/>
    </xf>
    <xf numFmtId="0" fontId="11" fillId="2" borderId="3" xfId="0" applyFont="1" applyFill="1" applyBorder="1" applyAlignment="1">
      <alignment horizontal="right" vertical="center" wrapText="1"/>
    </xf>
    <xf numFmtId="0" fontId="0" fillId="2" borderId="0" xfId="0" applyFill="1" applyAlignment="1">
      <alignment horizontal="right"/>
    </xf>
    <xf numFmtId="0" fontId="0" fillId="3" borderId="3" xfId="0" applyFill="1" applyBorder="1" applyAlignment="1">
      <alignment vertical="top" wrapText="1"/>
    </xf>
    <xf numFmtId="165" fontId="10" fillId="12" borderId="2" xfId="0" applyNumberFormat="1" applyFont="1" applyFill="1" applyBorder="1" applyAlignment="1">
      <alignment horizontal="right" vertical="top" wrapText="1"/>
    </xf>
    <xf numFmtId="0" fontId="0" fillId="10" borderId="0" xfId="0" applyFill="1" applyAlignment="1">
      <alignment horizontal="right"/>
    </xf>
    <xf numFmtId="0" fontId="8" fillId="9" borderId="18" xfId="0" applyFont="1" applyFill="1" applyBorder="1" applyAlignment="1">
      <alignment horizontal="right" wrapText="1"/>
    </xf>
    <xf numFmtId="0" fontId="2" fillId="8" borderId="17" xfId="0" applyFont="1" applyFill="1" applyBorder="1" applyAlignment="1">
      <alignment horizontal="right"/>
    </xf>
    <xf numFmtId="0" fontId="6" fillId="2" borderId="0" xfId="0" applyFont="1" applyFill="1" applyAlignment="1">
      <alignment horizontal="right" wrapText="1"/>
    </xf>
    <xf numFmtId="0" fontId="14" fillId="2" borderId="0" xfId="0" applyFont="1" applyFill="1" applyAlignment="1">
      <alignment horizontal="right" wrapText="1"/>
    </xf>
    <xf numFmtId="0" fontId="7" fillId="5" borderId="0" xfId="0" applyFont="1" applyFill="1" applyAlignment="1">
      <alignment horizontal="right"/>
    </xf>
    <xf numFmtId="0" fontId="12" fillId="5" borderId="0" xfId="0" applyFont="1" applyFill="1"/>
    <xf numFmtId="0" fontId="10" fillId="12" borderId="2" xfId="0" applyFont="1" applyFill="1" applyBorder="1" applyAlignment="1">
      <alignment horizontal="left" vertical="top" wrapText="1"/>
    </xf>
    <xf numFmtId="0" fontId="8" fillId="2" borderId="3" xfId="0" applyFont="1" applyFill="1" applyBorder="1" applyAlignment="1">
      <alignment vertical="top"/>
    </xf>
    <xf numFmtId="0" fontId="8" fillId="2" borderId="8" xfId="0" applyFont="1" applyFill="1" applyBorder="1" applyAlignment="1">
      <alignment vertical="top"/>
    </xf>
    <xf numFmtId="0" fontId="8" fillId="9" borderId="19" xfId="0" applyFont="1" applyFill="1" applyBorder="1" applyAlignment="1">
      <alignment wrapText="1"/>
    </xf>
    <xf numFmtId="0" fontId="8" fillId="9" borderId="20" xfId="0" applyFont="1" applyFill="1" applyBorder="1" applyAlignment="1">
      <alignment wrapText="1"/>
    </xf>
    <xf numFmtId="0" fontId="2" fillId="9" borderId="22" xfId="0" applyFont="1" applyFill="1" applyBorder="1" applyAlignment="1">
      <alignment horizontal="right" wrapText="1"/>
    </xf>
    <xf numFmtId="0" fontId="2" fillId="9" borderId="23" xfId="0" applyFont="1" applyFill="1" applyBorder="1" applyAlignment="1">
      <alignment horizontal="left"/>
    </xf>
    <xf numFmtId="0" fontId="15" fillId="3" borderId="21" xfId="0" quotePrefix="1" applyFont="1" applyFill="1" applyBorder="1" applyAlignment="1">
      <alignment horizontal="left" vertical="top"/>
    </xf>
    <xf numFmtId="0" fontId="15" fillId="3" borderId="7" xfId="0" quotePrefix="1" applyFont="1" applyFill="1" applyBorder="1" applyAlignment="1">
      <alignment horizontal="right" vertical="top"/>
    </xf>
    <xf numFmtId="0" fontId="10" fillId="12" borderId="3" xfId="0" applyFont="1" applyFill="1" applyBorder="1" applyAlignment="1">
      <alignment horizontal="center" vertical="top" wrapText="1"/>
    </xf>
    <xf numFmtId="0" fontId="6" fillId="2" borderId="0" xfId="0" applyFont="1" applyFill="1" applyAlignment="1">
      <alignment horizontal="left"/>
    </xf>
    <xf numFmtId="0" fontId="16" fillId="2" borderId="0" xfId="0" applyFont="1" applyFill="1" applyAlignment="1">
      <alignment horizontal="left"/>
    </xf>
    <xf numFmtId="0" fontId="3" fillId="12" borderId="8" xfId="0" applyFont="1" applyFill="1" applyBorder="1" applyAlignment="1">
      <alignment horizontal="right" vertical="center" wrapText="1"/>
    </xf>
    <xf numFmtId="3" fontId="3" fillId="3" borderId="3" xfId="0" applyNumberFormat="1" applyFont="1" applyFill="1" applyBorder="1" applyAlignment="1">
      <alignment horizontal="right" vertical="center" wrapText="1"/>
    </xf>
    <xf numFmtId="0" fontId="3" fillId="12" borderId="16" xfId="0" applyFont="1" applyFill="1" applyBorder="1" applyAlignment="1">
      <alignment horizontal="right" vertical="center" wrapText="1"/>
    </xf>
    <xf numFmtId="166" fontId="0" fillId="12" borderId="3" xfId="0" applyNumberFormat="1" applyFill="1" applyBorder="1" applyAlignment="1">
      <alignment horizontal="center"/>
    </xf>
    <xf numFmtId="164" fontId="3" fillId="12" borderId="3" xfId="0" applyNumberFormat="1" applyFont="1" applyFill="1" applyBorder="1" applyAlignment="1">
      <alignment horizontal="right" vertical="center" wrapText="1"/>
    </xf>
    <xf numFmtId="0" fontId="0" fillId="12" borderId="13" xfId="0" applyFill="1" applyBorder="1" applyAlignment="1">
      <alignment horizontal="left"/>
    </xf>
    <xf numFmtId="0" fontId="10" fillId="9" borderId="3" xfId="0" applyFont="1" applyFill="1" applyBorder="1" applyAlignment="1">
      <alignment horizontal="right" vertical="center" wrapText="1"/>
    </xf>
    <xf numFmtId="0" fontId="2" fillId="2" borderId="0" xfId="0" applyFont="1" applyFill="1"/>
    <xf numFmtId="0" fontId="2" fillId="2" borderId="0" xfId="0" applyFont="1" applyFill="1" applyAlignment="1">
      <alignment wrapText="1"/>
    </xf>
    <xf numFmtId="167" fontId="3" fillId="12" borderId="12" xfId="0" applyNumberFormat="1" applyFont="1" applyFill="1" applyBorder="1" applyAlignment="1">
      <alignment horizontal="right" vertical="center" wrapText="1"/>
    </xf>
    <xf numFmtId="0" fontId="0" fillId="2" borderId="27" xfId="0" applyFill="1" applyBorder="1"/>
    <xf numFmtId="0" fontId="0" fillId="2" borderId="28" xfId="0" applyFill="1" applyBorder="1"/>
    <xf numFmtId="0" fontId="0" fillId="2" borderId="29" xfId="0" applyFill="1" applyBorder="1"/>
    <xf numFmtId="0" fontId="0" fillId="2" borderId="12" xfId="0" applyFill="1" applyBorder="1"/>
    <xf numFmtId="0" fontId="0" fillId="2" borderId="16" xfId="0" applyFill="1" applyBorder="1"/>
    <xf numFmtId="0" fontId="2" fillId="2" borderId="12" xfId="0" applyFont="1" applyFill="1" applyBorder="1"/>
    <xf numFmtId="0" fontId="2" fillId="2" borderId="16" xfId="0" applyFont="1" applyFill="1" applyBorder="1"/>
    <xf numFmtId="0" fontId="8" fillId="2" borderId="13" xfId="0" applyFont="1" applyFill="1" applyBorder="1"/>
    <xf numFmtId="0" fontId="8" fillId="2" borderId="14" xfId="0" applyFont="1" applyFill="1" applyBorder="1"/>
    <xf numFmtId="0" fontId="2" fillId="2" borderId="15" xfId="0" applyFont="1" applyFill="1" applyBorder="1"/>
    <xf numFmtId="0" fontId="2" fillId="2" borderId="14" xfId="0" applyFont="1" applyFill="1" applyBorder="1"/>
    <xf numFmtId="0" fontId="1" fillId="9" borderId="24" xfId="0" applyFont="1" applyFill="1" applyBorder="1" applyAlignment="1">
      <alignment horizontal="center"/>
    </xf>
    <xf numFmtId="0" fontId="1" fillId="9" borderId="30" xfId="0" applyFont="1" applyFill="1" applyBorder="1" applyAlignment="1">
      <alignment horizontal="center"/>
    </xf>
    <xf numFmtId="0" fontId="0" fillId="12" borderId="31" xfId="0" applyFill="1" applyBorder="1"/>
    <xf numFmtId="0" fontId="1" fillId="2" borderId="0" xfId="0" applyFont="1" applyFill="1"/>
    <xf numFmtId="0" fontId="17" fillId="2" borderId="0" xfId="0" applyFont="1" applyFill="1" applyAlignment="1">
      <alignment horizontal="left"/>
    </xf>
    <xf numFmtId="0" fontId="18" fillId="2" borderId="0" xfId="0" applyFont="1" applyFill="1"/>
    <xf numFmtId="0" fontId="18" fillId="2" borderId="0" xfId="0" applyFont="1" applyFill="1" applyAlignment="1">
      <alignment wrapText="1"/>
    </xf>
    <xf numFmtId="0" fontId="19" fillId="13" borderId="24" xfId="0" applyFont="1" applyFill="1" applyBorder="1" applyAlignment="1">
      <alignment horizontal="right"/>
    </xf>
    <xf numFmtId="0" fontId="20" fillId="7" borderId="24" xfId="0" applyFont="1" applyFill="1" applyBorder="1" applyAlignment="1">
      <alignment horizontal="right"/>
    </xf>
    <xf numFmtId="0" fontId="19" fillId="6" borderId="24" xfId="0" applyFont="1" applyFill="1" applyBorder="1" applyAlignment="1">
      <alignment horizontal="right"/>
    </xf>
    <xf numFmtId="0" fontId="19" fillId="14" borderId="24" xfId="0" applyFont="1" applyFill="1" applyBorder="1" applyAlignment="1">
      <alignment horizontal="right"/>
    </xf>
    <xf numFmtId="0" fontId="19" fillId="6" borderId="24" xfId="0" applyFont="1" applyFill="1" applyBorder="1" applyAlignment="1">
      <alignment horizontal="right" wrapText="1"/>
    </xf>
    <xf numFmtId="0" fontId="20" fillId="8" borderId="24" xfId="0" applyFont="1" applyFill="1" applyBorder="1" applyAlignment="1">
      <alignment horizontal="right"/>
    </xf>
    <xf numFmtId="0" fontId="19" fillId="15" borderId="24" xfId="0" applyFont="1" applyFill="1" applyBorder="1" applyAlignment="1">
      <alignment horizontal="right"/>
    </xf>
    <xf numFmtId="0" fontId="21" fillId="2" borderId="8" xfId="0" applyFont="1" applyFill="1" applyBorder="1" applyAlignment="1">
      <alignment horizontal="center"/>
    </xf>
    <xf numFmtId="0" fontId="2" fillId="3" borderId="3" xfId="0" applyFont="1" applyFill="1" applyBorder="1"/>
    <xf numFmtId="0" fontId="0" fillId="12" borderId="8" xfId="0" applyFill="1" applyBorder="1" applyAlignment="1">
      <alignment horizontal="center"/>
    </xf>
    <xf numFmtId="0" fontId="0" fillId="12" borderId="3" xfId="0" applyFill="1" applyBorder="1" applyAlignment="1">
      <alignment horizontal="center"/>
    </xf>
    <xf numFmtId="0" fontId="23" fillId="2" borderId="0" xfId="0" applyFont="1" applyFill="1" applyAlignment="1">
      <alignment horizontal="center" vertical="top"/>
    </xf>
    <xf numFmtId="0" fontId="3" fillId="12" borderId="3" xfId="0" applyFont="1" applyFill="1" applyBorder="1" applyAlignment="1">
      <alignment horizontal="right" vertical="center" wrapText="1"/>
    </xf>
    <xf numFmtId="0" fontId="24" fillId="16" borderId="24" xfId="0" applyFont="1" applyFill="1" applyBorder="1" applyAlignment="1">
      <alignment horizontal="right"/>
    </xf>
    <xf numFmtId="0" fontId="23" fillId="2" borderId="0" xfId="0" applyFont="1" applyFill="1" applyAlignment="1">
      <alignment horizontal="center"/>
    </xf>
    <xf numFmtId="0" fontId="4" fillId="2" borderId="0" xfId="0" applyFont="1" applyFill="1" applyAlignment="1">
      <alignment horizontal="center"/>
    </xf>
    <xf numFmtId="0" fontId="0" fillId="12" borderId="2" xfId="0" applyFill="1" applyBorder="1" applyAlignment="1">
      <alignment horizontal="center"/>
    </xf>
    <xf numFmtId="0" fontId="4" fillId="12" borderId="2" xfId="0" applyFont="1" applyFill="1" applyBorder="1" applyAlignment="1">
      <alignment horizontal="center"/>
    </xf>
    <xf numFmtId="0" fontId="23" fillId="10" borderId="0" xfId="0" applyFont="1" applyFill="1" applyAlignment="1">
      <alignment horizontal="center"/>
    </xf>
    <xf numFmtId="0" fontId="12" fillId="5" borderId="0" xfId="0" applyFont="1" applyFill="1" applyAlignment="1">
      <alignment horizontal="left"/>
    </xf>
    <xf numFmtId="0" fontId="12" fillId="5" borderId="4" xfId="0" applyFont="1" applyFill="1" applyBorder="1" applyAlignment="1">
      <alignment horizontal="left"/>
    </xf>
    <xf numFmtId="0" fontId="12" fillId="5" borderId="5" xfId="0" applyFont="1" applyFill="1" applyBorder="1" applyAlignment="1">
      <alignment horizontal="left"/>
    </xf>
    <xf numFmtId="0" fontId="12" fillId="5" borderId="6" xfId="0" applyFont="1" applyFill="1" applyBorder="1" applyAlignment="1">
      <alignment horizontal="left"/>
    </xf>
    <xf numFmtId="0" fontId="0" fillId="8" borderId="17" xfId="0" applyFill="1" applyBorder="1" applyAlignment="1">
      <alignment horizontal="center" wrapText="1"/>
    </xf>
    <xf numFmtId="0" fontId="0" fillId="8" borderId="17" xfId="0" applyFill="1" applyBorder="1" applyAlignment="1">
      <alignment horizontal="left"/>
    </xf>
    <xf numFmtId="0" fontId="0" fillId="8" borderId="17" xfId="0" applyFill="1" applyBorder="1" applyAlignment="1">
      <alignment horizontal="center"/>
    </xf>
    <xf numFmtId="0" fontId="0" fillId="12" borderId="9" xfId="0" applyFill="1" applyBorder="1" applyAlignment="1">
      <alignment horizontal="left" vertical="top"/>
    </xf>
    <xf numFmtId="0" fontId="0" fillId="12" borderId="10" xfId="0" applyFill="1" applyBorder="1" applyAlignment="1">
      <alignment horizontal="left" vertical="top"/>
    </xf>
    <xf numFmtId="0" fontId="0" fillId="12" borderId="11" xfId="0" applyFill="1" applyBorder="1" applyAlignment="1">
      <alignment horizontal="left" vertical="top"/>
    </xf>
    <xf numFmtId="0" fontId="12" fillId="5" borderId="1" xfId="0" applyFont="1" applyFill="1" applyBorder="1" applyAlignment="1">
      <alignment horizontal="left"/>
    </xf>
    <xf numFmtId="0" fontId="12" fillId="5" borderId="25" xfId="0" applyFont="1" applyFill="1" applyBorder="1" applyAlignment="1">
      <alignment horizontal="left"/>
    </xf>
    <xf numFmtId="0" fontId="12" fillId="5" borderId="26" xfId="0" applyFont="1" applyFill="1" applyBorder="1" applyAlignment="1">
      <alignment horizontal="left"/>
    </xf>
    <xf numFmtId="0" fontId="1" fillId="9" borderId="24" xfId="0" applyFont="1" applyFill="1" applyBorder="1" applyAlignment="1">
      <alignment horizontal="left"/>
    </xf>
    <xf numFmtId="0" fontId="1" fillId="9" borderId="30" xfId="0" applyFont="1" applyFill="1" applyBorder="1" applyAlignment="1">
      <alignment horizontal="left"/>
    </xf>
    <xf numFmtId="0" fontId="17" fillId="2" borderId="0" xfId="0" applyFont="1" applyFill="1" applyAlignment="1">
      <alignment horizontal="left"/>
    </xf>
    <xf numFmtId="0" fontId="1" fillId="2" borderId="0" xfId="0" applyFont="1" applyFill="1" applyAlignment="1">
      <alignment horizontal="left"/>
    </xf>
    <xf numFmtId="0" fontId="22" fillId="5" borderId="0" xfId="0" applyFont="1" applyFill="1" applyAlignment="1">
      <alignment horizontal="center" vertical="top"/>
    </xf>
  </cellXfs>
  <cellStyles count="1">
    <cellStyle name="Normal" xfId="0" builtinId="0"/>
  </cellStyles>
  <dxfs count="5">
    <dxf>
      <font>
        <b/>
        <i val="0"/>
        <color theme="0"/>
      </font>
      <fill>
        <patternFill>
          <bgColor rgb="FF00B050"/>
        </patternFill>
      </fill>
    </dxf>
    <dxf>
      <font>
        <b/>
        <i val="0"/>
        <condense val="0"/>
        <extend val="0"/>
        <color indexed="9"/>
      </font>
      <fill>
        <patternFill>
          <bgColor indexed="10"/>
        </patternFill>
      </fill>
    </dxf>
    <dxf>
      <font>
        <b/>
        <i val="0"/>
        <color theme="1"/>
      </font>
      <fill>
        <patternFill>
          <bgColor rgb="FFFFFF00"/>
        </patternFill>
      </fill>
    </dxf>
    <dxf>
      <font>
        <b/>
        <i val="0"/>
        <color theme="0"/>
      </font>
      <fill>
        <patternFill patternType="solid">
          <bgColor rgb="FF00B0F0"/>
        </patternFill>
      </fill>
    </dxf>
    <dxf>
      <font>
        <b/>
        <i val="0"/>
        <strike val="0"/>
        <color auto="1"/>
      </font>
      <fill>
        <patternFill>
          <bgColor rgb="FF00E266"/>
        </patternFill>
      </fill>
    </dxf>
  </dxfs>
  <tableStyles count="0" defaultTableStyle="TableStyleMedium2" defaultPivotStyle="PivotStyleMedium9"/>
  <colors>
    <mruColors>
      <color rgb="FF008E40"/>
      <color rgb="FF00E266"/>
      <color rgb="FF6DFFAF"/>
      <color rgb="FFFFFFE7"/>
      <color rgb="FFFFA3A3"/>
      <color rgb="FFFFDDDD"/>
      <color rgb="FF820000"/>
      <color rgb="FFFF7C80"/>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00" b="1" i="0" u="none" strike="noStrike" kern="1200" spc="0" baseline="0">
                <a:solidFill>
                  <a:schemeClr val="tx1">
                    <a:lumMod val="65000"/>
                    <a:lumOff val="35000"/>
                  </a:schemeClr>
                </a:solidFill>
                <a:latin typeface="+mn-lt"/>
                <a:ea typeface="+mn-ea"/>
                <a:cs typeface="+mn-cs"/>
              </a:defRPr>
            </a:pPr>
            <a:r>
              <a:rPr lang="en-US" sz="1000" b="1">
                <a:solidFill>
                  <a:schemeClr val="tx1">
                    <a:lumMod val="65000"/>
                    <a:lumOff val="35000"/>
                  </a:schemeClr>
                </a:solidFill>
              </a:rPr>
              <a:t>By Counts</a:t>
            </a:r>
          </a:p>
        </c:rich>
      </c:tx>
      <c:layout>
        <c:manualLayout>
          <c:xMode val="edge"/>
          <c:yMode val="edge"/>
          <c:x val="0.28881339429345526"/>
          <c:y val="0.85601288475304227"/>
        </c:manualLayout>
      </c:layout>
      <c:overlay val="0"/>
      <c:spPr>
        <a:noFill/>
        <a:ln>
          <a:noFill/>
        </a:ln>
        <a:effectLst/>
      </c:spPr>
      <c:txPr>
        <a:bodyPr rot="0" spcFirstLastPara="1" vertOverflow="ellipsis" vert="horz" wrap="square" anchor="ctr" anchorCtr="1"/>
        <a:lstStyle/>
        <a:p>
          <a:pPr algn="l">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550419100838201E-2"/>
          <c:y val="4.654095084705321E-2"/>
          <c:w val="0.76591313182626364"/>
          <c:h val="0.80943092340730138"/>
        </c:manualLayout>
      </c:layout>
      <c:pieChart>
        <c:varyColors val="1"/>
        <c:ser>
          <c:idx val="0"/>
          <c:order val="0"/>
          <c:tx>
            <c:strRef>
              <c:f>'Test Cases'!$J$4</c:f>
              <c:strCache>
                <c:ptCount val="1"/>
                <c:pt idx="0">
                  <c:v>Count</c:v>
                </c:pt>
              </c:strCache>
            </c:strRef>
          </c:tx>
          <c:spPr>
            <a:ln w="12700">
              <a:noFill/>
            </a:ln>
          </c:spPr>
          <c:dPt>
            <c:idx val="0"/>
            <c:bubble3D val="0"/>
            <c:spPr>
              <a:solidFill>
                <a:srgbClr val="00B0F0"/>
              </a:solidFill>
              <a:ln w="12700">
                <a:noFill/>
              </a:ln>
              <a:effectLst/>
            </c:spPr>
            <c:extLst>
              <c:ext xmlns:c16="http://schemas.microsoft.com/office/drawing/2014/chart" uri="{C3380CC4-5D6E-409C-BE32-E72D297353CC}">
                <c16:uniqueId val="{00000002-7C36-43E9-AD49-F29EB3CB57A1}"/>
              </c:ext>
            </c:extLst>
          </c:dPt>
          <c:dPt>
            <c:idx val="1"/>
            <c:bubble3D val="0"/>
            <c:spPr>
              <a:solidFill>
                <a:srgbClr val="FFFF00"/>
              </a:solidFill>
              <a:ln w="12700">
                <a:noFill/>
              </a:ln>
              <a:effectLst/>
            </c:spPr>
            <c:extLst>
              <c:ext xmlns:c16="http://schemas.microsoft.com/office/drawing/2014/chart" uri="{C3380CC4-5D6E-409C-BE32-E72D297353CC}">
                <c16:uniqueId val="{00000003-7C36-43E9-AD49-F29EB3CB57A1}"/>
              </c:ext>
            </c:extLst>
          </c:dPt>
          <c:dPt>
            <c:idx val="2"/>
            <c:bubble3D val="0"/>
            <c:spPr>
              <a:solidFill>
                <a:srgbClr val="FF0000"/>
              </a:solidFill>
              <a:ln w="12700">
                <a:noFill/>
              </a:ln>
              <a:effectLst/>
            </c:spPr>
            <c:extLst>
              <c:ext xmlns:c16="http://schemas.microsoft.com/office/drawing/2014/chart" uri="{C3380CC4-5D6E-409C-BE32-E72D297353CC}">
                <c16:uniqueId val="{00000004-7C36-43E9-AD49-F29EB3CB57A1}"/>
              </c:ext>
            </c:extLst>
          </c:dPt>
          <c:dPt>
            <c:idx val="3"/>
            <c:bubble3D val="0"/>
            <c:spPr>
              <a:solidFill>
                <a:srgbClr val="00E266"/>
              </a:solidFill>
              <a:ln w="12700">
                <a:noFill/>
              </a:ln>
              <a:effectLst/>
            </c:spPr>
            <c:extLst>
              <c:ext xmlns:c16="http://schemas.microsoft.com/office/drawing/2014/chart" uri="{C3380CC4-5D6E-409C-BE32-E72D297353CC}">
                <c16:uniqueId val="{00000005-7C36-43E9-AD49-F29EB3CB57A1}"/>
              </c:ext>
            </c:extLst>
          </c:dPt>
          <c:dPt>
            <c:idx val="4"/>
            <c:bubble3D val="0"/>
            <c:spPr>
              <a:solidFill>
                <a:srgbClr val="00B050"/>
              </a:solidFill>
              <a:ln w="12700">
                <a:noFill/>
              </a:ln>
              <a:effectLst/>
            </c:spPr>
            <c:extLst>
              <c:ext xmlns:c16="http://schemas.microsoft.com/office/drawing/2014/chart" uri="{C3380CC4-5D6E-409C-BE32-E72D297353CC}">
                <c16:uniqueId val="{00000009-1A90-44CE-82A3-3996003E807E}"/>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7C36-43E9-AD49-F29EB3CB57A1}"/>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5-7C36-43E9-AD49-F29EB3CB57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extLst>
                <c:ext xmlns:c15="http://schemas.microsoft.com/office/drawing/2012/chart" uri="{02D57815-91ED-43cb-92C2-25804820EDAC}">
                  <c15:fullRef>
                    <c15:sqref>'Test Cases'!$G$5:$G$10</c15:sqref>
                  </c15:fullRef>
                </c:ext>
              </c:extLst>
              <c:f>'Test Cases'!$G$5:$G$9</c:f>
              <c:strCache>
                <c:ptCount val="5"/>
                <c:pt idx="0">
                  <c:v>To Do</c:v>
                </c:pt>
                <c:pt idx="1">
                  <c:v>Blocked</c:v>
                </c:pt>
                <c:pt idx="2">
                  <c:v>Fail</c:v>
                </c:pt>
                <c:pt idx="3">
                  <c:v>Qualified Pass</c:v>
                </c:pt>
                <c:pt idx="4">
                  <c:v>Pass</c:v>
                </c:pt>
              </c:strCache>
            </c:strRef>
          </c:cat>
          <c:val>
            <c:numRef>
              <c:extLst>
                <c:ext xmlns:c15="http://schemas.microsoft.com/office/drawing/2012/chart" uri="{02D57815-91ED-43cb-92C2-25804820EDAC}">
                  <c15:fullRef>
                    <c15:sqref>'Test Cases'!$J$5:$J$10</c15:sqref>
                  </c15:fullRef>
                </c:ext>
              </c:extLst>
              <c:f>'Test Cases'!$J$5:$J$9</c:f>
              <c:numCache>
                <c:formatCode>General</c:formatCode>
                <c:ptCount val="5"/>
                <c:pt idx="0">
                  <c:v>72</c:v>
                </c:pt>
                <c:pt idx="1">
                  <c:v>0</c:v>
                </c:pt>
                <c:pt idx="2">
                  <c:v>0</c:v>
                </c:pt>
                <c:pt idx="3">
                  <c:v>0</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7C36-43E9-AD49-F29EB3CB57A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2560148731409"/>
          <c:y val="4.9302775700523466E-2"/>
          <c:w val="0.843130016752064"/>
          <c:h val="0.77423714211296102"/>
        </c:manualLayout>
      </c:layout>
      <c:areaChart>
        <c:grouping val="stacked"/>
        <c:varyColors val="0"/>
        <c:ser>
          <c:idx val="0"/>
          <c:order val="0"/>
          <c:tx>
            <c:strRef>
              <c:f>'Test Run Log'!$J$4</c:f>
              <c:strCache>
                <c:ptCount val="1"/>
                <c:pt idx="0">
                  <c:v>Pass</c:v>
                </c:pt>
              </c:strCache>
            </c:strRef>
          </c:tx>
          <c:spPr>
            <a:solidFill>
              <a:srgbClr val="00B050"/>
            </a:solidFill>
            <a:ln>
              <a:noFill/>
            </a:ln>
            <a:effectLst/>
          </c:spPr>
          <c:cat>
            <c:strRef>
              <c:f>'Test Run Log'!$B$14:$B$16</c:f>
              <c:strCache>
                <c:ptCount val="3"/>
                <c:pt idx="0">
                  <c:v>R10</c:v>
                </c:pt>
                <c:pt idx="1">
                  <c:v>R11</c:v>
                </c:pt>
                <c:pt idx="2">
                  <c:v>R12</c:v>
                </c:pt>
              </c:strCache>
            </c:strRef>
          </c:cat>
          <c:val>
            <c:numRef>
              <c:f>'Test Run Log'!$J$14:$J$16</c:f>
              <c:numCache>
                <c:formatCode>General</c:formatCode>
                <c:ptCount val="3"/>
              </c:numCache>
            </c:numRef>
          </c:val>
          <c:extLst>
            <c:ext xmlns:c16="http://schemas.microsoft.com/office/drawing/2014/chart" uri="{C3380CC4-5D6E-409C-BE32-E72D297353CC}">
              <c16:uniqueId val="{00000000-9D5F-4C73-B914-D97F290D6209}"/>
            </c:ext>
          </c:extLst>
        </c:ser>
        <c:ser>
          <c:idx val="2"/>
          <c:order val="1"/>
          <c:tx>
            <c:strRef>
              <c:f>'Test Run Log'!$I$4</c:f>
              <c:strCache>
                <c:ptCount val="1"/>
                <c:pt idx="0">
                  <c:v>Qpass</c:v>
                </c:pt>
              </c:strCache>
            </c:strRef>
          </c:tx>
          <c:spPr>
            <a:solidFill>
              <a:srgbClr val="00E266"/>
            </a:solidFill>
            <a:ln w="25400">
              <a:noFill/>
            </a:ln>
            <a:effectLst/>
          </c:spPr>
          <c:val>
            <c:numRef>
              <c:f>'Test Run Log'!$I$14:$I$16</c:f>
              <c:numCache>
                <c:formatCode>General</c:formatCode>
                <c:ptCount val="3"/>
              </c:numCache>
            </c:numRef>
          </c:val>
          <c:extLst>
            <c:ext xmlns:c16="http://schemas.microsoft.com/office/drawing/2014/chart" uri="{C3380CC4-5D6E-409C-BE32-E72D297353CC}">
              <c16:uniqueId val="{00000001-898C-481D-9A4B-10419998F0DA}"/>
            </c:ext>
          </c:extLst>
        </c:ser>
        <c:ser>
          <c:idx val="1"/>
          <c:order val="2"/>
          <c:tx>
            <c:strRef>
              <c:f>'Test Run Log'!$H$4</c:f>
              <c:strCache>
                <c:ptCount val="1"/>
                <c:pt idx="0">
                  <c:v>Fail</c:v>
                </c:pt>
              </c:strCache>
            </c:strRef>
          </c:tx>
          <c:spPr>
            <a:solidFill>
              <a:srgbClr val="FF0000"/>
            </a:solidFill>
            <a:ln>
              <a:noFill/>
            </a:ln>
            <a:effectLst/>
          </c:spPr>
          <c:cat>
            <c:strRef>
              <c:f>'Test Run Log'!$B$14:$B$16</c:f>
              <c:strCache>
                <c:ptCount val="3"/>
                <c:pt idx="0">
                  <c:v>R10</c:v>
                </c:pt>
                <c:pt idx="1">
                  <c:v>R11</c:v>
                </c:pt>
                <c:pt idx="2">
                  <c:v>R12</c:v>
                </c:pt>
              </c:strCache>
            </c:strRef>
          </c:cat>
          <c:val>
            <c:numRef>
              <c:f>'Test Run Log'!$H$14:$H$16</c:f>
              <c:numCache>
                <c:formatCode>General</c:formatCode>
                <c:ptCount val="3"/>
              </c:numCache>
            </c:numRef>
          </c:val>
          <c:extLst>
            <c:ext xmlns:c16="http://schemas.microsoft.com/office/drawing/2014/chart" uri="{C3380CC4-5D6E-409C-BE32-E72D297353CC}">
              <c16:uniqueId val="{00000001-9D5F-4C73-B914-D97F290D6209}"/>
            </c:ext>
          </c:extLst>
        </c:ser>
        <c:ser>
          <c:idx val="4"/>
          <c:order val="3"/>
          <c:tx>
            <c:strRef>
              <c:f>'Test Run Log'!$G$4</c:f>
              <c:strCache>
                <c:ptCount val="1"/>
                <c:pt idx="0">
                  <c:v>Block</c:v>
                </c:pt>
              </c:strCache>
            </c:strRef>
          </c:tx>
          <c:spPr>
            <a:solidFill>
              <a:srgbClr val="FFFF00"/>
            </a:solidFill>
            <a:ln w="12700">
              <a:noFill/>
            </a:ln>
            <a:effectLst/>
          </c:spPr>
          <c:cat>
            <c:strRef>
              <c:f>'Test Run Log'!$B$14:$B$16</c:f>
              <c:strCache>
                <c:ptCount val="3"/>
                <c:pt idx="0">
                  <c:v>R10</c:v>
                </c:pt>
                <c:pt idx="1">
                  <c:v>R11</c:v>
                </c:pt>
                <c:pt idx="2">
                  <c:v>R12</c:v>
                </c:pt>
              </c:strCache>
            </c:strRef>
          </c:cat>
          <c:val>
            <c:numRef>
              <c:f>'Test Run Log'!$G$14:$G$16</c:f>
              <c:numCache>
                <c:formatCode>General</c:formatCode>
                <c:ptCount val="3"/>
              </c:numCache>
            </c:numRef>
          </c:val>
          <c:extLst>
            <c:ext xmlns:c16="http://schemas.microsoft.com/office/drawing/2014/chart" uri="{C3380CC4-5D6E-409C-BE32-E72D297353CC}">
              <c16:uniqueId val="{00000004-9D5F-4C73-B914-D97F290D6209}"/>
            </c:ext>
          </c:extLst>
        </c:ser>
        <c:ser>
          <c:idx val="3"/>
          <c:order val="4"/>
          <c:tx>
            <c:strRef>
              <c:f>'Test Run Log'!$F$4</c:f>
              <c:strCache>
                <c:ptCount val="1"/>
                <c:pt idx="0">
                  <c:v>ToDo</c:v>
                </c:pt>
              </c:strCache>
            </c:strRef>
          </c:tx>
          <c:spPr>
            <a:solidFill>
              <a:srgbClr val="00B0F0"/>
            </a:solidFill>
            <a:ln>
              <a:noFill/>
            </a:ln>
            <a:effectLst/>
          </c:spPr>
          <c:cat>
            <c:strRef>
              <c:f>'Test Run Log'!$B$14:$B$16</c:f>
              <c:strCache>
                <c:ptCount val="3"/>
                <c:pt idx="0">
                  <c:v>R10</c:v>
                </c:pt>
                <c:pt idx="1">
                  <c:v>R11</c:v>
                </c:pt>
                <c:pt idx="2">
                  <c:v>R12</c:v>
                </c:pt>
              </c:strCache>
            </c:strRef>
          </c:cat>
          <c:val>
            <c:numRef>
              <c:f>'Test Run Log'!$F$14:$F$16</c:f>
              <c:numCache>
                <c:formatCode>General</c:formatCode>
                <c:ptCount val="3"/>
              </c:numCache>
            </c:numRef>
          </c:val>
          <c:extLst>
            <c:ext xmlns:c16="http://schemas.microsoft.com/office/drawing/2014/chart" uri="{C3380CC4-5D6E-409C-BE32-E72D297353CC}">
              <c16:uniqueId val="{00000003-9D5F-4C73-B914-D97F290D6209}"/>
            </c:ext>
          </c:extLst>
        </c:ser>
        <c:dLbls>
          <c:showLegendKey val="0"/>
          <c:showVal val="0"/>
          <c:showCatName val="0"/>
          <c:showSerName val="0"/>
          <c:showPercent val="0"/>
          <c:showBubbleSize val="0"/>
        </c:dLbls>
        <c:axId val="337800712"/>
        <c:axId val="337804320"/>
      </c:areaChart>
      <c:catAx>
        <c:axId val="337800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7804320"/>
        <c:crosses val="autoZero"/>
        <c:auto val="0"/>
        <c:lblAlgn val="ctr"/>
        <c:lblOffset val="100"/>
        <c:noMultiLvlLbl val="0"/>
      </c:catAx>
      <c:valAx>
        <c:axId val="33780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7800712"/>
        <c:crosses val="autoZero"/>
        <c:crossBetween val="midCat"/>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152523763214852E-2"/>
          <c:y val="1.145981752280965E-2"/>
          <c:w val="0.91909448818897621"/>
          <c:h val="0.69967879015123113"/>
        </c:manualLayout>
      </c:layout>
      <c:barChart>
        <c:barDir val="bar"/>
        <c:grouping val="stacked"/>
        <c:varyColors val="0"/>
        <c:ser>
          <c:idx val="0"/>
          <c:order val="0"/>
          <c:tx>
            <c:strRef>
              <c:f>Report!$G$13</c:f>
              <c:strCache>
                <c:ptCount val="1"/>
                <c:pt idx="0">
                  <c:v>Pass</c:v>
                </c:pt>
              </c:strCache>
            </c:strRef>
          </c:tx>
          <c:spPr>
            <a:solidFill>
              <a:srgbClr val="005024"/>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3028-4282-8FBB-62752001F8FD}"/>
              </c:ext>
            </c:extLst>
          </c:dPt>
          <c:val>
            <c:numRef>
              <c:f>Report!$G$14</c:f>
              <c:numCache>
                <c:formatCode>General</c:formatCode>
                <c:ptCount val="1"/>
                <c:pt idx="0">
                  <c:v>0</c:v>
                </c:pt>
              </c:numCache>
            </c:numRef>
          </c:val>
          <c:extLst>
            <c:ext xmlns:c16="http://schemas.microsoft.com/office/drawing/2014/chart" uri="{C3380CC4-5D6E-409C-BE32-E72D297353CC}">
              <c16:uniqueId val="{00000000-5377-4A86-A99F-81B52CF7537D}"/>
            </c:ext>
          </c:extLst>
        </c:ser>
        <c:ser>
          <c:idx val="4"/>
          <c:order val="1"/>
          <c:tx>
            <c:strRef>
              <c:f>Report!$F$13</c:f>
              <c:strCache>
                <c:ptCount val="1"/>
                <c:pt idx="0">
                  <c:v>Qpass</c:v>
                </c:pt>
              </c:strCache>
            </c:strRef>
          </c:tx>
          <c:spPr>
            <a:solidFill>
              <a:schemeClr val="accent5"/>
            </a:solidFill>
            <a:ln>
              <a:noFill/>
            </a:ln>
            <a:effectLst/>
          </c:spPr>
          <c:invertIfNegative val="0"/>
          <c:dPt>
            <c:idx val="0"/>
            <c:invertIfNegative val="0"/>
            <c:bubble3D val="0"/>
            <c:spPr>
              <a:solidFill>
                <a:srgbClr val="00E266"/>
              </a:solidFill>
              <a:ln>
                <a:noFill/>
              </a:ln>
              <a:effectLst/>
            </c:spPr>
            <c:extLst>
              <c:ext xmlns:c16="http://schemas.microsoft.com/office/drawing/2014/chart" uri="{C3380CC4-5D6E-409C-BE32-E72D297353CC}">
                <c16:uniqueId val="{00000004-27C8-44C8-A49F-9B2368E244CF}"/>
              </c:ext>
            </c:extLst>
          </c:dPt>
          <c:val>
            <c:numRef>
              <c:f>Report!$F$14</c:f>
              <c:numCache>
                <c:formatCode>General</c:formatCode>
                <c:ptCount val="1"/>
                <c:pt idx="0">
                  <c:v>0</c:v>
                </c:pt>
              </c:numCache>
            </c:numRef>
          </c:val>
          <c:extLst>
            <c:ext xmlns:c16="http://schemas.microsoft.com/office/drawing/2014/chart" uri="{C3380CC4-5D6E-409C-BE32-E72D297353CC}">
              <c16:uniqueId val="{00000003-27C8-44C8-A49F-9B2368E244CF}"/>
            </c:ext>
          </c:extLst>
        </c:ser>
        <c:ser>
          <c:idx val="1"/>
          <c:order val="2"/>
          <c:tx>
            <c:strRef>
              <c:f>Report!$E$13</c:f>
              <c:strCache>
                <c:ptCount val="1"/>
                <c:pt idx="0">
                  <c:v>Fail</c:v>
                </c:pt>
              </c:strCache>
            </c:strRef>
          </c:tx>
          <c:spPr>
            <a:solidFill>
              <a:srgbClr val="FF0000"/>
            </a:solidFill>
            <a:ln>
              <a:noFill/>
            </a:ln>
            <a:effectLst/>
          </c:spPr>
          <c:invertIfNegative val="0"/>
          <c:val>
            <c:numRef>
              <c:f>Report!$E$14</c:f>
              <c:numCache>
                <c:formatCode>General</c:formatCode>
                <c:ptCount val="1"/>
                <c:pt idx="0">
                  <c:v>0</c:v>
                </c:pt>
              </c:numCache>
            </c:numRef>
          </c:val>
          <c:extLst>
            <c:ext xmlns:c16="http://schemas.microsoft.com/office/drawing/2014/chart" uri="{C3380CC4-5D6E-409C-BE32-E72D297353CC}">
              <c16:uniqueId val="{00000001-5377-4A86-A99F-81B52CF7537D}"/>
            </c:ext>
          </c:extLst>
        </c:ser>
        <c:ser>
          <c:idx val="2"/>
          <c:order val="3"/>
          <c:tx>
            <c:strRef>
              <c:f>Report!$D$13</c:f>
              <c:strCache>
                <c:ptCount val="1"/>
                <c:pt idx="0">
                  <c:v>Block</c:v>
                </c:pt>
              </c:strCache>
            </c:strRef>
          </c:tx>
          <c:spPr>
            <a:solidFill>
              <a:srgbClr val="FFFF00"/>
            </a:solidFill>
            <a:ln>
              <a:noFill/>
            </a:ln>
            <a:effectLst/>
          </c:spPr>
          <c:invertIfNegative val="0"/>
          <c:val>
            <c:numRef>
              <c:f>Report!$D$14</c:f>
              <c:numCache>
                <c:formatCode>General</c:formatCode>
                <c:ptCount val="1"/>
                <c:pt idx="0">
                  <c:v>0</c:v>
                </c:pt>
              </c:numCache>
            </c:numRef>
          </c:val>
          <c:extLst>
            <c:ext xmlns:c16="http://schemas.microsoft.com/office/drawing/2014/chart" uri="{C3380CC4-5D6E-409C-BE32-E72D297353CC}">
              <c16:uniqueId val="{00000002-5377-4A86-A99F-81B52CF7537D}"/>
            </c:ext>
          </c:extLst>
        </c:ser>
        <c:ser>
          <c:idx val="3"/>
          <c:order val="4"/>
          <c:tx>
            <c:strRef>
              <c:f>Report!$C$13</c:f>
              <c:strCache>
                <c:ptCount val="1"/>
                <c:pt idx="0">
                  <c:v>ToDo</c:v>
                </c:pt>
              </c:strCache>
            </c:strRef>
          </c:tx>
          <c:spPr>
            <a:solidFill>
              <a:srgbClr val="00B0F0"/>
            </a:solidFill>
            <a:ln>
              <a:noFill/>
            </a:ln>
            <a:effectLst/>
          </c:spPr>
          <c:invertIfNegative val="0"/>
          <c:val>
            <c:numRef>
              <c:f>Report!$C$14</c:f>
              <c:numCache>
                <c:formatCode>General</c:formatCode>
                <c:ptCount val="1"/>
                <c:pt idx="0">
                  <c:v>0</c:v>
                </c:pt>
              </c:numCache>
            </c:numRef>
          </c:val>
          <c:extLst>
            <c:ext xmlns:c16="http://schemas.microsoft.com/office/drawing/2014/chart" uri="{C3380CC4-5D6E-409C-BE32-E72D297353CC}">
              <c16:uniqueId val="{00000003-3028-4282-8FBB-62752001F8FD}"/>
            </c:ext>
          </c:extLst>
        </c:ser>
        <c:dLbls>
          <c:showLegendKey val="0"/>
          <c:showVal val="0"/>
          <c:showCatName val="0"/>
          <c:showSerName val="0"/>
          <c:showPercent val="0"/>
          <c:showBubbleSize val="0"/>
        </c:dLbls>
        <c:gapWidth val="10"/>
        <c:overlap val="100"/>
        <c:axId val="705073072"/>
        <c:axId val="705077336"/>
      </c:barChart>
      <c:catAx>
        <c:axId val="705073072"/>
        <c:scaling>
          <c:orientation val="minMax"/>
        </c:scaling>
        <c:delete val="1"/>
        <c:axPos val="l"/>
        <c:numFmt formatCode="General" sourceLinked="1"/>
        <c:majorTickMark val="none"/>
        <c:minorTickMark val="none"/>
        <c:tickLblPos val="nextTo"/>
        <c:crossAx val="705077336"/>
        <c:crosses val="autoZero"/>
        <c:auto val="1"/>
        <c:lblAlgn val="ctr"/>
        <c:lblOffset val="100"/>
        <c:noMultiLvlLbl val="0"/>
      </c:catAx>
      <c:valAx>
        <c:axId val="705077336"/>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073072"/>
        <c:crosses val="autoZero"/>
        <c:crossBetween val="between"/>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152523763214852E-2"/>
          <c:y val="8.4638834208223945E-3"/>
          <c:w val="0.91909448818897621"/>
          <c:h val="0.70552964859975031"/>
        </c:manualLayout>
      </c:layout>
      <c:barChart>
        <c:barDir val="bar"/>
        <c:grouping val="stacked"/>
        <c:varyColors val="0"/>
        <c:ser>
          <c:idx val="0"/>
          <c:order val="0"/>
          <c:tx>
            <c:strRef>
              <c:f>Report!$M$13</c:f>
              <c:strCache>
                <c:ptCount val="1"/>
                <c:pt idx="0">
                  <c:v>Close</c:v>
                </c:pt>
              </c:strCache>
            </c:strRef>
          </c:tx>
          <c:spPr>
            <a:solidFill>
              <a:srgbClr val="005024"/>
            </a:solidFill>
            <a:ln>
              <a:noFill/>
            </a:ln>
            <a:effectLst/>
          </c:spPr>
          <c:invertIfNegative val="0"/>
          <c:dPt>
            <c:idx val="0"/>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1-9660-4385-85A7-038B733D4127}"/>
              </c:ext>
            </c:extLst>
          </c:dPt>
          <c:val>
            <c:numRef>
              <c:f>Report!$M$14</c:f>
              <c:numCache>
                <c:formatCode>General</c:formatCode>
                <c:ptCount val="1"/>
                <c:pt idx="0">
                  <c:v>0</c:v>
                </c:pt>
              </c:numCache>
            </c:numRef>
          </c:val>
          <c:extLst>
            <c:ext xmlns:c16="http://schemas.microsoft.com/office/drawing/2014/chart" uri="{C3380CC4-5D6E-409C-BE32-E72D297353CC}">
              <c16:uniqueId val="{00000002-9660-4385-85A7-038B733D4127}"/>
            </c:ext>
          </c:extLst>
        </c:ser>
        <c:ser>
          <c:idx val="1"/>
          <c:order val="1"/>
          <c:tx>
            <c:strRef>
              <c:f>Report!$L$13</c:f>
              <c:strCache>
                <c:ptCount val="1"/>
                <c:pt idx="0">
                  <c:v>Defer</c:v>
                </c:pt>
              </c:strCache>
            </c:strRef>
          </c:tx>
          <c:spPr>
            <a:solidFill>
              <a:schemeClr val="bg1">
                <a:lumMod val="65000"/>
                <a:alpha val="99000"/>
              </a:schemeClr>
            </a:solidFill>
            <a:ln>
              <a:noFill/>
            </a:ln>
            <a:effectLst/>
          </c:spPr>
          <c:invertIfNegative val="0"/>
          <c:val>
            <c:numRef>
              <c:f>Report!$L$14</c:f>
              <c:numCache>
                <c:formatCode>General</c:formatCode>
                <c:ptCount val="1"/>
                <c:pt idx="0">
                  <c:v>0</c:v>
                </c:pt>
              </c:numCache>
            </c:numRef>
          </c:val>
          <c:extLst>
            <c:ext xmlns:c16="http://schemas.microsoft.com/office/drawing/2014/chart" uri="{C3380CC4-5D6E-409C-BE32-E72D297353CC}">
              <c16:uniqueId val="{00000003-9660-4385-85A7-038B733D4127}"/>
            </c:ext>
          </c:extLst>
        </c:ser>
        <c:ser>
          <c:idx val="3"/>
          <c:order val="2"/>
          <c:tx>
            <c:strRef>
              <c:f>Report!$K$13</c:f>
              <c:strCache>
                <c:ptCount val="1"/>
                <c:pt idx="0">
                  <c:v>Open</c:v>
                </c:pt>
              </c:strCache>
            </c:strRef>
          </c:tx>
          <c:spPr>
            <a:solidFill>
              <a:srgbClr val="FF0000"/>
            </a:solidFill>
            <a:ln>
              <a:noFill/>
            </a:ln>
            <a:effectLst/>
          </c:spPr>
          <c:invertIfNegative val="0"/>
          <c:val>
            <c:numRef>
              <c:f>Report!$K$14</c:f>
              <c:numCache>
                <c:formatCode>General</c:formatCode>
                <c:ptCount val="1"/>
                <c:pt idx="0">
                  <c:v>0</c:v>
                </c:pt>
              </c:numCache>
            </c:numRef>
          </c:val>
          <c:extLst>
            <c:ext xmlns:c16="http://schemas.microsoft.com/office/drawing/2014/chart" uri="{C3380CC4-5D6E-409C-BE32-E72D297353CC}">
              <c16:uniqueId val="{00000005-9660-4385-85A7-038B733D4127}"/>
            </c:ext>
          </c:extLst>
        </c:ser>
        <c:dLbls>
          <c:showLegendKey val="0"/>
          <c:showVal val="0"/>
          <c:showCatName val="0"/>
          <c:showSerName val="0"/>
          <c:showPercent val="0"/>
          <c:showBubbleSize val="0"/>
        </c:dLbls>
        <c:gapWidth val="10"/>
        <c:overlap val="100"/>
        <c:axId val="705073072"/>
        <c:axId val="705077336"/>
      </c:barChart>
      <c:catAx>
        <c:axId val="705073072"/>
        <c:scaling>
          <c:orientation val="minMax"/>
        </c:scaling>
        <c:delete val="1"/>
        <c:axPos val="l"/>
        <c:numFmt formatCode="General" sourceLinked="1"/>
        <c:majorTickMark val="none"/>
        <c:minorTickMark val="none"/>
        <c:tickLblPos val="nextTo"/>
        <c:crossAx val="705077336"/>
        <c:crosses val="autoZero"/>
        <c:auto val="1"/>
        <c:lblAlgn val="ctr"/>
        <c:lblOffset val="100"/>
        <c:noMultiLvlLbl val="0"/>
      </c:catAx>
      <c:valAx>
        <c:axId val="705077336"/>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073072"/>
        <c:crosses val="autoZero"/>
        <c:crossBetween val="between"/>
        <c:minorUnit val="1"/>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2560148731409"/>
          <c:y val="4.9302775700523466E-2"/>
          <c:w val="0.843130016752064"/>
          <c:h val="0.77423714211296102"/>
        </c:manualLayout>
      </c:layout>
      <c:areaChart>
        <c:grouping val="stacked"/>
        <c:varyColors val="0"/>
        <c:ser>
          <c:idx val="3"/>
          <c:order val="0"/>
          <c:tx>
            <c:strRef>
              <c:f>'Test Run Log'!$O$4</c:f>
              <c:strCache>
                <c:ptCount val="1"/>
                <c:pt idx="0">
                  <c:v>Closed</c:v>
                </c:pt>
              </c:strCache>
            </c:strRef>
          </c:tx>
          <c:spPr>
            <a:solidFill>
              <a:schemeClr val="tx1">
                <a:lumMod val="65000"/>
                <a:lumOff val="35000"/>
              </a:schemeClr>
            </a:solidFill>
            <a:ln>
              <a:noFill/>
            </a:ln>
            <a:effectLst/>
          </c:spPr>
          <c:cat>
            <c:strRef>
              <c:f>'Test Run Log'!$B$14:$B$16</c:f>
              <c:strCache>
                <c:ptCount val="3"/>
                <c:pt idx="0">
                  <c:v>R10</c:v>
                </c:pt>
                <c:pt idx="1">
                  <c:v>R11</c:v>
                </c:pt>
                <c:pt idx="2">
                  <c:v>R12</c:v>
                </c:pt>
              </c:strCache>
            </c:strRef>
          </c:cat>
          <c:val>
            <c:numRef>
              <c:f>'Test Run Log'!$O$14:$O$16</c:f>
              <c:numCache>
                <c:formatCode>General</c:formatCode>
                <c:ptCount val="3"/>
              </c:numCache>
            </c:numRef>
          </c:val>
          <c:extLst>
            <c:ext xmlns:c16="http://schemas.microsoft.com/office/drawing/2014/chart" uri="{C3380CC4-5D6E-409C-BE32-E72D297353CC}">
              <c16:uniqueId val="{00000003-EB3A-4FBC-91FC-82AF43AF53F6}"/>
            </c:ext>
          </c:extLst>
        </c:ser>
        <c:ser>
          <c:idx val="4"/>
          <c:order val="1"/>
          <c:tx>
            <c:strRef>
              <c:f>'Test Run Log'!$N$4</c:f>
              <c:strCache>
                <c:ptCount val="1"/>
                <c:pt idx="0">
                  <c:v>Defer</c:v>
                </c:pt>
              </c:strCache>
            </c:strRef>
          </c:tx>
          <c:spPr>
            <a:solidFill>
              <a:schemeClr val="bg1">
                <a:lumMod val="65000"/>
              </a:schemeClr>
            </a:solidFill>
            <a:ln w="12700">
              <a:noFill/>
            </a:ln>
            <a:effectLst/>
          </c:spPr>
          <c:cat>
            <c:strRef>
              <c:f>'Test Run Log'!$B$14:$B$16</c:f>
              <c:strCache>
                <c:ptCount val="3"/>
                <c:pt idx="0">
                  <c:v>R10</c:v>
                </c:pt>
                <c:pt idx="1">
                  <c:v>R11</c:v>
                </c:pt>
                <c:pt idx="2">
                  <c:v>R12</c:v>
                </c:pt>
              </c:strCache>
            </c:strRef>
          </c:cat>
          <c:val>
            <c:numRef>
              <c:f>'Test Run Log'!$N$14:$N$16</c:f>
              <c:numCache>
                <c:formatCode>General</c:formatCode>
                <c:ptCount val="3"/>
              </c:numCache>
            </c:numRef>
          </c:val>
          <c:extLst>
            <c:ext xmlns:c16="http://schemas.microsoft.com/office/drawing/2014/chart" uri="{C3380CC4-5D6E-409C-BE32-E72D297353CC}">
              <c16:uniqueId val="{00000002-EB3A-4FBC-91FC-82AF43AF53F6}"/>
            </c:ext>
          </c:extLst>
        </c:ser>
        <c:ser>
          <c:idx val="1"/>
          <c:order val="2"/>
          <c:tx>
            <c:strRef>
              <c:f>'Test Run Log'!$M$4</c:f>
              <c:strCache>
                <c:ptCount val="1"/>
                <c:pt idx="0">
                  <c:v>Open,  Allow</c:v>
                </c:pt>
              </c:strCache>
            </c:strRef>
          </c:tx>
          <c:spPr>
            <a:solidFill>
              <a:srgbClr val="FF0000"/>
            </a:solidFill>
            <a:ln>
              <a:noFill/>
            </a:ln>
            <a:effectLst/>
          </c:spPr>
          <c:cat>
            <c:strRef>
              <c:f>'Test Run Log'!$B$14:$B$16</c:f>
              <c:strCache>
                <c:ptCount val="3"/>
                <c:pt idx="0">
                  <c:v>R10</c:v>
                </c:pt>
                <c:pt idx="1">
                  <c:v>R11</c:v>
                </c:pt>
                <c:pt idx="2">
                  <c:v>R12</c:v>
                </c:pt>
              </c:strCache>
            </c:strRef>
          </c:cat>
          <c:val>
            <c:numRef>
              <c:f>'Test Run Log'!$M$14:$M$16</c:f>
              <c:numCache>
                <c:formatCode>General</c:formatCode>
                <c:ptCount val="3"/>
              </c:numCache>
            </c:numRef>
          </c:val>
          <c:extLst>
            <c:ext xmlns:c16="http://schemas.microsoft.com/office/drawing/2014/chart" uri="{C3380CC4-5D6E-409C-BE32-E72D297353CC}">
              <c16:uniqueId val="{00000001-EB3A-4FBC-91FC-82AF43AF53F6}"/>
            </c:ext>
          </c:extLst>
        </c:ser>
        <c:ser>
          <c:idx val="0"/>
          <c:order val="3"/>
          <c:tx>
            <c:strRef>
              <c:f>'Test Run Log'!$L$4</c:f>
              <c:strCache>
                <c:ptCount val="1"/>
                <c:pt idx="0">
                  <c:v>Open,  Stop</c:v>
                </c:pt>
              </c:strCache>
            </c:strRef>
          </c:tx>
          <c:spPr>
            <a:solidFill>
              <a:srgbClr val="FF0000"/>
            </a:solidFill>
            <a:ln>
              <a:noFill/>
            </a:ln>
            <a:effectLst/>
          </c:spPr>
          <c:cat>
            <c:strRef>
              <c:f>'Test Run Log'!$B$14:$B$16</c:f>
              <c:strCache>
                <c:ptCount val="3"/>
                <c:pt idx="0">
                  <c:v>R10</c:v>
                </c:pt>
                <c:pt idx="1">
                  <c:v>R11</c:v>
                </c:pt>
                <c:pt idx="2">
                  <c:v>R12</c:v>
                </c:pt>
              </c:strCache>
            </c:strRef>
          </c:cat>
          <c:val>
            <c:numRef>
              <c:f>'Test Run Log'!$L$14:$L$16</c:f>
              <c:numCache>
                <c:formatCode>General</c:formatCode>
                <c:ptCount val="3"/>
              </c:numCache>
            </c:numRef>
          </c:val>
          <c:extLst>
            <c:ext xmlns:c16="http://schemas.microsoft.com/office/drawing/2014/chart" uri="{C3380CC4-5D6E-409C-BE32-E72D297353CC}">
              <c16:uniqueId val="{00000000-EB3A-4FBC-91FC-82AF43AF53F6}"/>
            </c:ext>
          </c:extLst>
        </c:ser>
        <c:dLbls>
          <c:showLegendKey val="0"/>
          <c:showVal val="0"/>
          <c:showCatName val="0"/>
          <c:showSerName val="0"/>
          <c:showPercent val="0"/>
          <c:showBubbleSize val="0"/>
        </c:dLbls>
        <c:axId val="337800712"/>
        <c:axId val="337804320"/>
      </c:areaChart>
      <c:catAx>
        <c:axId val="337800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7804320"/>
        <c:crosses val="autoZero"/>
        <c:auto val="0"/>
        <c:lblAlgn val="ctr"/>
        <c:lblOffset val="100"/>
        <c:noMultiLvlLbl val="0"/>
      </c:catAx>
      <c:valAx>
        <c:axId val="33780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7800712"/>
        <c:crosses val="autoZero"/>
        <c:crossBetween val="midCat"/>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2560148731409"/>
          <c:y val="4.9302775700523466E-2"/>
          <c:w val="0.843130016752064"/>
          <c:h val="0.67322685516583147"/>
        </c:manualLayout>
      </c:layout>
      <c:barChart>
        <c:barDir val="col"/>
        <c:grouping val="clustered"/>
        <c:varyColors val="0"/>
        <c:ser>
          <c:idx val="3"/>
          <c:order val="0"/>
          <c:tx>
            <c:strRef>
              <c:f>'Test Run Log'!$E$3</c:f>
              <c:strCache>
                <c:ptCount val="1"/>
                <c:pt idx="0">
                  <c:v>Exec Time (hr)</c:v>
                </c:pt>
              </c:strCache>
            </c:strRef>
          </c:tx>
          <c:spPr>
            <a:solidFill>
              <a:srgbClr val="7030A0"/>
            </a:solidFill>
            <a:ln>
              <a:noFill/>
            </a:ln>
            <a:effectLst/>
          </c:spPr>
          <c:invertIfNegative val="0"/>
          <c:cat>
            <c:strRef>
              <c:f>'Test Run Log'!$B$14:$B$16</c:f>
              <c:strCache>
                <c:ptCount val="3"/>
                <c:pt idx="0">
                  <c:v>R10</c:v>
                </c:pt>
                <c:pt idx="1">
                  <c:v>R11</c:v>
                </c:pt>
                <c:pt idx="2">
                  <c:v>R12</c:v>
                </c:pt>
              </c:strCache>
            </c:strRef>
          </c:cat>
          <c:val>
            <c:numRef>
              <c:f>'Test Run Log'!$E$14:$E$16</c:f>
              <c:numCache>
                <c:formatCode>0.0</c:formatCode>
                <c:ptCount val="3"/>
              </c:numCache>
            </c:numRef>
          </c:val>
          <c:extLst>
            <c:ext xmlns:c16="http://schemas.microsoft.com/office/drawing/2014/chart" uri="{C3380CC4-5D6E-409C-BE32-E72D297353CC}">
              <c16:uniqueId val="{00000003-9825-4E58-8314-50FB6D318366}"/>
            </c:ext>
          </c:extLst>
        </c:ser>
        <c:dLbls>
          <c:showLegendKey val="0"/>
          <c:showVal val="0"/>
          <c:showCatName val="0"/>
          <c:showSerName val="0"/>
          <c:showPercent val="0"/>
          <c:showBubbleSize val="0"/>
        </c:dLbls>
        <c:gapWidth val="10"/>
        <c:axId val="337800712"/>
        <c:axId val="337804320"/>
      </c:barChart>
      <c:catAx>
        <c:axId val="337800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7804320"/>
        <c:crosses val="autoZero"/>
        <c:auto val="0"/>
        <c:lblAlgn val="ctr"/>
        <c:lblOffset val="100"/>
        <c:noMultiLvlLbl val="0"/>
      </c:catAx>
      <c:valAx>
        <c:axId val="3378043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7800712"/>
        <c:crosses val="autoZero"/>
        <c:crossBetween val="between"/>
      </c:valAx>
      <c:spPr>
        <a:noFill/>
        <a:ln>
          <a:noFill/>
        </a:ln>
        <a:effectLst/>
      </c:spPr>
    </c:plotArea>
    <c:legend>
      <c:legendPos val="b"/>
      <c:layout>
        <c:manualLayout>
          <c:xMode val="edge"/>
          <c:yMode val="edge"/>
          <c:x val="0.28725255119141541"/>
          <c:y val="0.88162729658792638"/>
          <c:w val="0.46806176487271117"/>
          <c:h val="8.049391553328560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2560148731409"/>
          <c:y val="4.9302775700523466E-2"/>
          <c:w val="0.843130016752064"/>
          <c:h val="0.67007053805774275"/>
        </c:manualLayout>
      </c:layout>
      <c:barChart>
        <c:barDir val="col"/>
        <c:grouping val="stacked"/>
        <c:varyColors val="0"/>
        <c:ser>
          <c:idx val="0"/>
          <c:order val="0"/>
          <c:tx>
            <c:strRef>
              <c:f>'Test Run Log'!$L$4</c:f>
              <c:strCache>
                <c:ptCount val="1"/>
                <c:pt idx="0">
                  <c:v>Open,  Stop</c:v>
                </c:pt>
              </c:strCache>
            </c:strRef>
          </c:tx>
          <c:spPr>
            <a:solidFill>
              <a:srgbClr val="FF0000"/>
            </a:solidFill>
            <a:ln>
              <a:solidFill>
                <a:srgbClr val="C00000"/>
              </a:solidFill>
            </a:ln>
            <a:effectLst/>
          </c:spPr>
          <c:invertIfNegative val="0"/>
          <c:cat>
            <c:strRef>
              <c:f>'Test Run Log'!$B$14:$B$16</c:f>
              <c:strCache>
                <c:ptCount val="3"/>
                <c:pt idx="0">
                  <c:v>R10</c:v>
                </c:pt>
                <c:pt idx="1">
                  <c:v>R11</c:v>
                </c:pt>
                <c:pt idx="2">
                  <c:v>R12</c:v>
                </c:pt>
              </c:strCache>
            </c:strRef>
          </c:cat>
          <c:val>
            <c:numRef>
              <c:f>'Test Run Log'!$L$14:$L$16</c:f>
              <c:numCache>
                <c:formatCode>General</c:formatCode>
                <c:ptCount val="3"/>
              </c:numCache>
            </c:numRef>
          </c:val>
          <c:extLst>
            <c:ext xmlns:c16="http://schemas.microsoft.com/office/drawing/2014/chart" uri="{C3380CC4-5D6E-409C-BE32-E72D297353CC}">
              <c16:uniqueId val="{00000003-F96B-42D5-8CBB-18C051F395D3}"/>
            </c:ext>
          </c:extLst>
        </c:ser>
        <c:ser>
          <c:idx val="1"/>
          <c:order val="1"/>
          <c:tx>
            <c:strRef>
              <c:f>'Test Run Log'!$M$4</c:f>
              <c:strCache>
                <c:ptCount val="1"/>
                <c:pt idx="0">
                  <c:v>Open,  Allow</c:v>
                </c:pt>
              </c:strCache>
            </c:strRef>
          </c:tx>
          <c:spPr>
            <a:solidFill>
              <a:srgbClr val="FFDDDD"/>
            </a:solidFill>
            <a:ln>
              <a:solidFill>
                <a:srgbClr val="FFA3A3"/>
              </a:solidFill>
            </a:ln>
            <a:effectLst/>
          </c:spPr>
          <c:invertIfNegative val="0"/>
          <c:cat>
            <c:strRef>
              <c:f>'Test Run Log'!$B$14:$B$16</c:f>
              <c:strCache>
                <c:ptCount val="3"/>
                <c:pt idx="0">
                  <c:v>R10</c:v>
                </c:pt>
                <c:pt idx="1">
                  <c:v>R11</c:v>
                </c:pt>
                <c:pt idx="2">
                  <c:v>R12</c:v>
                </c:pt>
              </c:strCache>
            </c:strRef>
          </c:cat>
          <c:val>
            <c:numRef>
              <c:f>'Test Run Log'!$M$14:$M$16</c:f>
              <c:numCache>
                <c:formatCode>General</c:formatCode>
                <c:ptCount val="3"/>
              </c:numCache>
            </c:numRef>
          </c:val>
          <c:extLst>
            <c:ext xmlns:c16="http://schemas.microsoft.com/office/drawing/2014/chart" uri="{C3380CC4-5D6E-409C-BE32-E72D297353CC}">
              <c16:uniqueId val="{00000002-F96B-42D5-8CBB-18C051F395D3}"/>
            </c:ext>
          </c:extLst>
        </c:ser>
        <c:dLbls>
          <c:showLegendKey val="0"/>
          <c:showVal val="0"/>
          <c:showCatName val="0"/>
          <c:showSerName val="0"/>
          <c:showPercent val="0"/>
          <c:showBubbleSize val="0"/>
        </c:dLbls>
        <c:gapWidth val="10"/>
        <c:overlap val="100"/>
        <c:axId val="337800712"/>
        <c:axId val="337804320"/>
      </c:barChart>
      <c:catAx>
        <c:axId val="337800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7804320"/>
        <c:crosses val="autoZero"/>
        <c:auto val="0"/>
        <c:lblAlgn val="ctr"/>
        <c:lblOffset val="100"/>
        <c:noMultiLvlLbl val="0"/>
      </c:catAx>
      <c:valAx>
        <c:axId val="33780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7800712"/>
        <c:crosses val="autoZero"/>
        <c:crossBetween val="between"/>
        <c:minorUnit val="1"/>
      </c:valAx>
      <c:spPr>
        <a:noFill/>
        <a:ln>
          <a:noFill/>
        </a:ln>
        <a:effectLst/>
      </c:spPr>
    </c:plotArea>
    <c:legend>
      <c:legendPos val="b"/>
      <c:layout>
        <c:manualLayout>
          <c:xMode val="edge"/>
          <c:yMode val="edge"/>
          <c:x val="0.15802922719139478"/>
          <c:y val="0.8799176144648585"/>
          <c:w val="0.74615503612146716"/>
          <c:h val="8.536016331291923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205740</xdr:colOff>
      <xdr:row>2</xdr:row>
      <xdr:rowOff>7620</xdr:rowOff>
    </xdr:from>
    <xdr:to>
      <xdr:col>11</xdr:col>
      <xdr:colOff>15240</xdr:colOff>
      <xdr:row>10</xdr:row>
      <xdr:rowOff>167640</xdr:rowOff>
    </xdr:to>
    <xdr:graphicFrame macro="">
      <xdr:nvGraphicFramePr>
        <xdr:cNvPr id="5" name="Chart 4">
          <a:extLst>
            <a:ext uri="{FF2B5EF4-FFF2-40B4-BE49-F238E27FC236}">
              <a16:creationId xmlns:a16="http://schemas.microsoft.com/office/drawing/2014/main" id="{434414D0-52F0-4C2E-9861-98FD4CBBA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748665</xdr:colOff>
      <xdr:row>17</xdr:row>
      <xdr:rowOff>68580</xdr:rowOff>
    </xdr:from>
    <xdr:to>
      <xdr:col>5</xdr:col>
      <xdr:colOff>76200</xdr:colOff>
      <xdr:row>17</xdr:row>
      <xdr:rowOff>937260</xdr:rowOff>
    </xdr:to>
    <xdr:sp macro="" textlink="">
      <xdr:nvSpPr>
        <xdr:cNvPr id="2" name="Text Box 15">
          <a:extLst>
            <a:ext uri="{FF2B5EF4-FFF2-40B4-BE49-F238E27FC236}">
              <a16:creationId xmlns:a16="http://schemas.microsoft.com/office/drawing/2014/main" id="{A1A48557-23DC-4698-B326-9752BC3D0C0B}"/>
            </a:ext>
          </a:extLst>
        </xdr:cNvPr>
        <xdr:cNvSpPr txBox="1">
          <a:spLocks noChangeArrowheads="1"/>
        </xdr:cNvSpPr>
      </xdr:nvSpPr>
      <xdr:spPr bwMode="auto">
        <a:xfrm>
          <a:off x="1137285" y="1623060"/>
          <a:ext cx="3663315" cy="868680"/>
        </a:xfrm>
        <a:prstGeom prst="rect">
          <a:avLst/>
        </a:prstGeom>
        <a:solidFill>
          <a:schemeClr val="accent1">
            <a:lumMod val="20000"/>
            <a:lumOff val="80000"/>
          </a:schemeClr>
        </a:solidFill>
        <a:ln>
          <a:noFill/>
        </a:ln>
      </xdr:spPr>
      <xdr:txBody>
        <a:bodyPr vertOverflow="clip" wrap="square" lIns="27432" tIns="22860" rIns="0" bIns="0" anchor="t" upright="1"/>
        <a:lstStyle/>
        <a:p>
          <a:pPr algn="l" rtl="0">
            <a:defRPr sz="1000"/>
          </a:pPr>
          <a:r>
            <a:rPr lang="en-US" sz="900" b="0" i="0" u="sng" strike="noStrike" baseline="0">
              <a:solidFill>
                <a:srgbClr val="0000FF"/>
              </a:solidFill>
              <a:latin typeface="+mn-lt"/>
              <a:cs typeface="Arial"/>
            </a:rPr>
            <a:t>To add a new Test Run (row)</a:t>
          </a:r>
          <a:r>
            <a:rPr lang="en-US" sz="900" b="0" i="0" u="none" strike="noStrike" baseline="0">
              <a:solidFill>
                <a:srgbClr val="0000FF"/>
              </a:solidFill>
              <a:latin typeface="+mn-lt"/>
              <a:cs typeface="Arial"/>
            </a:rPr>
            <a:t>:</a:t>
          </a:r>
          <a:br>
            <a:rPr lang="en-US" sz="900" b="0" i="0" u="none" strike="noStrike" baseline="0">
              <a:solidFill>
                <a:srgbClr val="0000FF"/>
              </a:solidFill>
              <a:latin typeface="+mn-lt"/>
              <a:cs typeface="Arial"/>
            </a:rPr>
          </a:br>
          <a:r>
            <a:rPr lang="en-US" sz="900" b="0" i="0" u="none" strike="noStrike" baseline="0">
              <a:solidFill>
                <a:srgbClr val="0000FF"/>
              </a:solidFill>
              <a:latin typeface="+mn-lt"/>
              <a:cs typeface="Arial"/>
            </a:rPr>
            <a:t>1. Highlight and copy the entire last row</a:t>
          </a:r>
          <a:br>
            <a:rPr lang="en-US" sz="900" b="0" i="0" u="none" strike="noStrike" baseline="0">
              <a:solidFill>
                <a:srgbClr val="0000FF"/>
              </a:solidFill>
              <a:latin typeface="+mn-lt"/>
              <a:cs typeface="Arial"/>
            </a:rPr>
          </a:br>
          <a:r>
            <a:rPr lang="en-US" sz="900" b="0" i="0" u="none" strike="noStrike" baseline="0">
              <a:solidFill>
                <a:srgbClr val="0000FF"/>
              </a:solidFill>
              <a:latin typeface="+mn-lt"/>
              <a:cs typeface="Arial"/>
            </a:rPr>
            <a:t>2. Right-click itself for a popup menu to appear</a:t>
          </a:r>
        </a:p>
        <a:p>
          <a:pPr algn="l" rtl="0">
            <a:defRPr sz="1000"/>
          </a:pPr>
          <a:r>
            <a:rPr lang="en-US" sz="900" b="0" i="0" u="none" strike="noStrike" baseline="0">
              <a:solidFill>
                <a:srgbClr val="0000FF"/>
              </a:solidFill>
              <a:latin typeface="+mn-lt"/>
              <a:cs typeface="Arial"/>
            </a:rPr>
            <a:t>3. Select "insert copied cells" to paste / insert the row onto itself</a:t>
          </a:r>
        </a:p>
        <a:p>
          <a:pPr algn="l" rtl="0">
            <a:defRPr sz="1000"/>
          </a:pPr>
          <a:r>
            <a:rPr lang="en-US" sz="900" b="0" i="0" u="none" strike="noStrike" baseline="0">
              <a:solidFill>
                <a:srgbClr val="0000FF"/>
              </a:solidFill>
              <a:latin typeface="+mn-lt"/>
              <a:cs typeface="Arial"/>
            </a:rPr>
            <a:t>4. The graphs all auto-adjust (inserting a new item)</a:t>
          </a:r>
        </a:p>
        <a:p>
          <a:pPr algn="l" rtl="0">
            <a:defRPr sz="1000"/>
          </a:pPr>
          <a:r>
            <a:rPr lang="en-US" sz="900" b="0" i="0" u="none" strike="noStrike" baseline="0">
              <a:solidFill>
                <a:srgbClr val="0000FF"/>
              </a:solidFill>
              <a:latin typeface="+mn-lt"/>
              <a:cs typeface="Arial"/>
            </a:rPr>
            <a:t>5. You type in the new values over in the old values in the "new" bottom row</a:t>
          </a:r>
          <a:endParaRPr lang="en-US" sz="1050">
            <a:latin typeface="+mn-lt"/>
          </a:endParaRPr>
        </a:p>
      </xdr:txBody>
    </xdr:sp>
    <xdr:clientData fPrintsWithSheet="0"/>
  </xdr:twoCellAnchor>
  <xdr:twoCellAnchor>
    <xdr:from>
      <xdr:col>0</xdr:col>
      <xdr:colOff>30478</xdr:colOff>
      <xdr:row>16</xdr:row>
      <xdr:rowOff>0</xdr:rowOff>
    </xdr:from>
    <xdr:to>
      <xdr:col>2</xdr:col>
      <xdr:colOff>739139</xdr:colOff>
      <xdr:row>17</xdr:row>
      <xdr:rowOff>472440</xdr:rowOff>
    </xdr:to>
    <xdr:sp macro="" textlink="">
      <xdr:nvSpPr>
        <xdr:cNvPr id="3" name="Line 28">
          <a:extLst>
            <a:ext uri="{FF2B5EF4-FFF2-40B4-BE49-F238E27FC236}">
              <a16:creationId xmlns:a16="http://schemas.microsoft.com/office/drawing/2014/main" id="{B2871076-5411-4398-A72E-311E3F8D804E}"/>
            </a:ext>
          </a:extLst>
        </xdr:cNvPr>
        <xdr:cNvSpPr>
          <a:spLocks noChangeShapeType="1"/>
        </xdr:cNvSpPr>
      </xdr:nvSpPr>
      <xdr:spPr bwMode="auto">
        <a:xfrm flipH="1" flipV="1">
          <a:off x="30478" y="1143000"/>
          <a:ext cx="1097281" cy="518160"/>
        </a:xfrm>
        <a:prstGeom prst="line">
          <a:avLst/>
        </a:prstGeom>
        <a:noFill/>
        <a:ln w="19050">
          <a:solidFill>
            <a:srgbClr xmlns:mc="http://schemas.openxmlformats.org/markup-compatibility/2006" xmlns:a14="http://schemas.microsoft.com/office/drawing/2010/main" val="0000FF" mc:Ignorable="a14" a14:legacySpreadsheetColorIndex="12"/>
          </a:solidFill>
          <a:round/>
          <a:headEnd/>
          <a:tailEnd type="triangle" w="sm" len="med"/>
        </a:ln>
        <a:extLst>
          <a:ext uri="{909E8E84-426E-40DD-AFC4-6F175D3DCCD1}">
            <a14:hiddenFill xmlns:a14="http://schemas.microsoft.com/office/drawing/2010/main">
              <a:noFill/>
            </a14:hiddenFill>
          </a:ext>
        </a:extLst>
      </xdr:spPr>
    </xdr:sp>
    <xdr:clientData fPrintsWithSheet="0"/>
  </xdr:twoCellAnchor>
  <xdr:twoCellAnchor>
    <xdr:from>
      <xdr:col>2</xdr:col>
      <xdr:colOff>731519</xdr:colOff>
      <xdr:row>17</xdr:row>
      <xdr:rowOff>45720</xdr:rowOff>
    </xdr:from>
    <xdr:to>
      <xdr:col>2</xdr:col>
      <xdr:colOff>731519</xdr:colOff>
      <xdr:row>17</xdr:row>
      <xdr:rowOff>922020</xdr:rowOff>
    </xdr:to>
    <xdr:sp macro="" textlink="">
      <xdr:nvSpPr>
        <xdr:cNvPr id="4" name="Line 28">
          <a:extLst>
            <a:ext uri="{FF2B5EF4-FFF2-40B4-BE49-F238E27FC236}">
              <a16:creationId xmlns:a16="http://schemas.microsoft.com/office/drawing/2014/main" id="{3BEEE0B3-F02C-4F6B-8C92-89D3DA0BC677}"/>
            </a:ext>
          </a:extLst>
        </xdr:cNvPr>
        <xdr:cNvSpPr>
          <a:spLocks noChangeShapeType="1"/>
        </xdr:cNvSpPr>
      </xdr:nvSpPr>
      <xdr:spPr bwMode="auto">
        <a:xfrm flipH="1" flipV="1">
          <a:off x="1120139" y="1600200"/>
          <a:ext cx="0" cy="876300"/>
        </a:xfrm>
        <a:prstGeom prst="line">
          <a:avLst/>
        </a:prstGeom>
        <a:noFill/>
        <a:ln w="19050">
          <a:solidFill>
            <a:srgbClr xmlns:mc="http://schemas.openxmlformats.org/markup-compatibility/2006" xmlns:a14="http://schemas.microsoft.com/office/drawing/2010/main" val="0000FF" mc:Ignorable="a14" a14:legacySpreadsheetColorIndex="12"/>
          </a:solidFill>
          <a:round/>
          <a:headEnd/>
          <a:tailEnd type="none" w="sm" len="med"/>
        </a:ln>
        <a:extLst>
          <a:ext uri="{909E8E84-426E-40DD-AFC4-6F175D3DCCD1}">
            <a14:hiddenFill xmlns:a14="http://schemas.microsoft.com/office/drawing/2010/main">
              <a:noFill/>
            </a14:hiddenFill>
          </a:ext>
        </a:extLst>
      </xdr:spPr>
    </xdr:sp>
    <xdr:clientData fPrintsWithSheet="0"/>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17</xdr:row>
      <xdr:rowOff>0</xdr:rowOff>
    </xdr:from>
    <xdr:to>
      <xdr:col>8</xdr:col>
      <xdr:colOff>0</xdr:colOff>
      <xdr:row>27</xdr:row>
      <xdr:rowOff>0</xdr:rowOff>
    </xdr:to>
    <xdr:graphicFrame macro="">
      <xdr:nvGraphicFramePr>
        <xdr:cNvPr id="4" name="Chart 3">
          <a:extLst>
            <a:ext uri="{FF2B5EF4-FFF2-40B4-BE49-F238E27FC236}">
              <a16:creationId xmlns:a16="http://schemas.microsoft.com/office/drawing/2014/main" id="{74663E11-5F9E-44F4-9993-7AF0C1F35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7</xdr:row>
      <xdr:rowOff>0</xdr:rowOff>
    </xdr:from>
    <xdr:to>
      <xdr:col>8</xdr:col>
      <xdr:colOff>0</xdr:colOff>
      <xdr:row>12</xdr:row>
      <xdr:rowOff>0</xdr:rowOff>
    </xdr:to>
    <xdr:graphicFrame macro="">
      <xdr:nvGraphicFramePr>
        <xdr:cNvPr id="6" name="Chart 5">
          <a:extLst>
            <a:ext uri="{FF2B5EF4-FFF2-40B4-BE49-F238E27FC236}">
              <a16:creationId xmlns:a16="http://schemas.microsoft.com/office/drawing/2014/main" id="{4F489293-4FEB-491D-895F-D3606B531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xdr:row>
      <xdr:rowOff>15240</xdr:rowOff>
    </xdr:from>
    <xdr:to>
      <xdr:col>15</xdr:col>
      <xdr:colOff>0</xdr:colOff>
      <xdr:row>12</xdr:row>
      <xdr:rowOff>0</xdr:rowOff>
    </xdr:to>
    <xdr:graphicFrame macro="">
      <xdr:nvGraphicFramePr>
        <xdr:cNvPr id="8" name="Chart 7">
          <a:extLst>
            <a:ext uri="{FF2B5EF4-FFF2-40B4-BE49-F238E27FC236}">
              <a16:creationId xmlns:a16="http://schemas.microsoft.com/office/drawing/2014/main" id="{2C334842-3899-41EC-903C-17E6CB522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17</xdr:row>
      <xdr:rowOff>0</xdr:rowOff>
    </xdr:from>
    <xdr:to>
      <xdr:col>15</xdr:col>
      <xdr:colOff>7620</xdr:colOff>
      <xdr:row>27</xdr:row>
      <xdr:rowOff>0</xdr:rowOff>
    </xdr:to>
    <xdr:graphicFrame macro="">
      <xdr:nvGraphicFramePr>
        <xdr:cNvPr id="9" name="Chart 8">
          <a:extLst>
            <a:ext uri="{FF2B5EF4-FFF2-40B4-BE49-F238E27FC236}">
              <a16:creationId xmlns:a16="http://schemas.microsoft.com/office/drawing/2014/main" id="{500C034D-E666-4AC6-8D0D-A8DD1B0C0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29</xdr:row>
      <xdr:rowOff>0</xdr:rowOff>
    </xdr:from>
    <xdr:to>
      <xdr:col>8</xdr:col>
      <xdr:colOff>0</xdr:colOff>
      <xdr:row>39</xdr:row>
      <xdr:rowOff>0</xdr:rowOff>
    </xdr:to>
    <xdr:graphicFrame macro="">
      <xdr:nvGraphicFramePr>
        <xdr:cNvPr id="11" name="Chart 10">
          <a:extLst>
            <a:ext uri="{FF2B5EF4-FFF2-40B4-BE49-F238E27FC236}">
              <a16:creationId xmlns:a16="http://schemas.microsoft.com/office/drawing/2014/main" id="{6030AA1B-D645-4CD9-A149-884CA1523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29</xdr:row>
      <xdr:rowOff>0</xdr:rowOff>
    </xdr:from>
    <xdr:to>
      <xdr:col>15</xdr:col>
      <xdr:colOff>7620</xdr:colOff>
      <xdr:row>39</xdr:row>
      <xdr:rowOff>0</xdr:rowOff>
    </xdr:to>
    <xdr:graphicFrame macro="">
      <xdr:nvGraphicFramePr>
        <xdr:cNvPr id="12" name="Chart 11">
          <a:extLst>
            <a:ext uri="{FF2B5EF4-FFF2-40B4-BE49-F238E27FC236}">
              <a16:creationId xmlns:a16="http://schemas.microsoft.com/office/drawing/2014/main" id="{5F148E6A-9BC4-4791-954C-1B80CABF0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FA83C-DEE6-4368-84A7-1F03ADC07CF4}">
  <dimension ref="A1:D9"/>
  <sheetViews>
    <sheetView tabSelected="1" zoomScaleNormal="100" workbookViewId="0">
      <selection activeCell="C8" sqref="C8"/>
    </sheetView>
  </sheetViews>
  <sheetFormatPr defaultColWidth="8.85546875" defaultRowHeight="15" x14ac:dyDescent="0.25"/>
  <cols>
    <col min="1" max="1" width="1.7109375" style="9" customWidth="1"/>
    <col min="2" max="2" width="15.5703125" style="9" customWidth="1"/>
    <col min="3" max="3" width="84.5703125" style="9" customWidth="1"/>
    <col min="4" max="4" width="1.7109375" style="9" customWidth="1"/>
    <col min="5" max="16384" width="8.85546875" style="9"/>
  </cols>
  <sheetData>
    <row r="1" spans="1:4" ht="6.6" customHeight="1" x14ac:dyDescent="0.25">
      <c r="A1" s="11"/>
      <c r="B1" s="11"/>
      <c r="C1" s="11"/>
      <c r="D1" s="11"/>
    </row>
    <row r="2" spans="1:4" ht="15.75" x14ac:dyDescent="0.25">
      <c r="A2" s="11"/>
      <c r="B2" s="96" t="s">
        <v>26</v>
      </c>
      <c r="C2" s="96"/>
      <c r="D2" s="11"/>
    </row>
    <row r="3" spans="1:4" ht="6.6" customHeight="1" x14ac:dyDescent="0.25">
      <c r="A3" s="11"/>
      <c r="B3" s="11"/>
      <c r="C3" s="11"/>
      <c r="D3" s="11"/>
    </row>
    <row r="4" spans="1:4" x14ac:dyDescent="0.25">
      <c r="A4" s="11"/>
      <c r="B4" s="12" t="s">
        <v>25</v>
      </c>
      <c r="C4" s="72" t="s">
        <v>137</v>
      </c>
      <c r="D4" s="11"/>
    </row>
    <row r="5" spans="1:4" ht="6.6" customHeight="1" x14ac:dyDescent="0.25">
      <c r="A5" s="11"/>
      <c r="B5" s="11"/>
      <c r="C5" s="11"/>
      <c r="D5" s="11"/>
    </row>
    <row r="6" spans="1:4" x14ac:dyDescent="0.25">
      <c r="A6" s="11"/>
      <c r="B6" s="12" t="s">
        <v>23</v>
      </c>
      <c r="C6" s="72" t="s">
        <v>54</v>
      </c>
      <c r="D6" s="11"/>
    </row>
    <row r="7" spans="1:4" ht="6.6" customHeight="1" x14ac:dyDescent="0.25">
      <c r="A7" s="11"/>
      <c r="B7" s="11"/>
      <c r="C7" s="11"/>
      <c r="D7" s="11"/>
    </row>
    <row r="8" spans="1:4" x14ac:dyDescent="0.25">
      <c r="A8" s="11"/>
      <c r="B8" s="12" t="s">
        <v>28</v>
      </c>
      <c r="C8" s="72" t="s">
        <v>138</v>
      </c>
      <c r="D8" s="11"/>
    </row>
    <row r="9" spans="1:4" ht="6.6" customHeight="1" x14ac:dyDescent="0.25">
      <c r="A9" s="11"/>
      <c r="B9" s="11"/>
      <c r="C9" s="11"/>
      <c r="D9" s="11"/>
    </row>
  </sheetData>
  <mergeCells count="1">
    <mergeCell ref="B2:C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C35F8-1315-4AD0-BB4E-D826F75C5B55}">
  <dimension ref="A1:L315"/>
  <sheetViews>
    <sheetView topLeftCell="A29" zoomScaleNormal="100" workbookViewId="0">
      <selection activeCell="E91" sqref="E91"/>
    </sheetView>
  </sheetViews>
  <sheetFormatPr defaultColWidth="9.28515625" defaultRowHeight="15" x14ac:dyDescent="0.25"/>
  <cols>
    <col min="1" max="1" width="1.7109375" style="92" customWidth="1"/>
    <col min="2" max="2" width="4.28515625" style="9" customWidth="1"/>
    <col min="3" max="3" width="6.5703125" style="30" customWidth="1"/>
    <col min="4" max="4" width="3.42578125" style="9" customWidth="1"/>
    <col min="5" max="5" width="93.28515625" style="9" customWidth="1"/>
    <col min="6" max="6" width="1.7109375" style="95" customWidth="1"/>
    <col min="7" max="7" width="11.7109375" style="9" customWidth="1"/>
    <col min="8" max="8" width="2.85546875" style="9" customWidth="1"/>
    <col min="9" max="9" width="7.28515625" style="9" bestFit="1" customWidth="1"/>
    <col min="10" max="10" width="5.7109375" style="9" bestFit="1" customWidth="1"/>
    <col min="11" max="11" width="23.42578125" style="9" customWidth="1"/>
    <col min="12" max="12" width="1.7109375" style="9" customWidth="1"/>
    <col min="13" max="16384" width="9.28515625" style="9"/>
  </cols>
  <sheetData>
    <row r="1" spans="2:12" ht="6.6" customHeight="1" x14ac:dyDescent="0.25">
      <c r="B1" s="1"/>
      <c r="C1" s="1"/>
      <c r="D1" s="1"/>
      <c r="E1" s="1"/>
      <c r="F1" s="91"/>
      <c r="G1" s="1"/>
      <c r="H1" s="1"/>
      <c r="I1" s="1"/>
      <c r="J1" s="1"/>
      <c r="K1" s="1"/>
      <c r="L1" s="1"/>
    </row>
    <row r="2" spans="2:12" ht="15.75" x14ac:dyDescent="0.25">
      <c r="C2" s="9"/>
      <c r="F2" s="91"/>
      <c r="G2" s="97" t="s">
        <v>38</v>
      </c>
      <c r="H2" s="98"/>
      <c r="I2" s="98"/>
      <c r="J2" s="98"/>
      <c r="K2" s="99"/>
      <c r="L2" s="1"/>
    </row>
    <row r="3" spans="2:12" ht="6.6" customHeight="1" x14ac:dyDescent="0.25">
      <c r="C3" s="9"/>
      <c r="F3" s="91"/>
      <c r="G3" s="1"/>
      <c r="H3" s="1"/>
      <c r="I3" s="1"/>
      <c r="J3" s="1"/>
      <c r="K3" s="1"/>
      <c r="L3" s="1"/>
    </row>
    <row r="4" spans="2:12" x14ac:dyDescent="0.25">
      <c r="C4" s="9"/>
      <c r="F4" s="91"/>
      <c r="G4" s="40" t="s">
        <v>17</v>
      </c>
      <c r="H4" s="41"/>
      <c r="I4" s="31" t="s">
        <v>21</v>
      </c>
      <c r="J4" s="31" t="s">
        <v>24</v>
      </c>
      <c r="K4" s="18"/>
      <c r="L4" s="1"/>
    </row>
    <row r="5" spans="2:12" x14ac:dyDescent="0.25">
      <c r="C5" s="9"/>
      <c r="F5" s="91"/>
      <c r="G5" s="39" t="s">
        <v>10</v>
      </c>
      <c r="H5" s="19" t="s">
        <v>9</v>
      </c>
      <c r="I5" s="20">
        <f t="shared" ref="I5:I10" si="0">SUMIF($D$18:$D$314,$H5,$C$18:$C$314)/60</f>
        <v>0</v>
      </c>
      <c r="J5" s="21">
        <f>COUNTIF($D$18:$D$314,$H5)</f>
        <v>72</v>
      </c>
      <c r="K5" s="34"/>
      <c r="L5" s="1"/>
    </row>
    <row r="6" spans="2:12" x14ac:dyDescent="0.25">
      <c r="C6" s="9"/>
      <c r="F6" s="91"/>
      <c r="G6" s="39" t="s">
        <v>6</v>
      </c>
      <c r="H6" s="19" t="s">
        <v>3</v>
      </c>
      <c r="I6" s="20">
        <f t="shared" si="0"/>
        <v>0</v>
      </c>
      <c r="J6" s="21">
        <f>COUNTIF($D$18:$D$314,$H6)</f>
        <v>0</v>
      </c>
      <c r="K6" s="33"/>
      <c r="L6" s="1"/>
    </row>
    <row r="7" spans="2:12" x14ac:dyDescent="0.25">
      <c r="C7" s="9"/>
      <c r="F7" s="91"/>
      <c r="G7" s="39" t="s">
        <v>5</v>
      </c>
      <c r="H7" s="19" t="s">
        <v>0</v>
      </c>
      <c r="I7" s="20">
        <f t="shared" si="0"/>
        <v>0</v>
      </c>
      <c r="J7" s="21">
        <f>COUNTIF($D$18:$D$314,$H7)</f>
        <v>0</v>
      </c>
      <c r="K7" s="33"/>
      <c r="L7" s="1"/>
    </row>
    <row r="8" spans="2:12" x14ac:dyDescent="0.25">
      <c r="C8" s="9"/>
      <c r="F8" s="91"/>
      <c r="G8" s="39" t="s">
        <v>51</v>
      </c>
      <c r="H8" s="19" t="s">
        <v>50</v>
      </c>
      <c r="I8" s="20">
        <f t="shared" si="0"/>
        <v>0</v>
      </c>
      <c r="J8" s="21">
        <f>COUNTIF($D$18:$D$314,$H8)</f>
        <v>0</v>
      </c>
      <c r="K8" s="33"/>
      <c r="L8" s="1"/>
    </row>
    <row r="9" spans="2:12" x14ac:dyDescent="0.25">
      <c r="C9" s="9"/>
      <c r="F9" s="91"/>
      <c r="G9" s="39" t="s">
        <v>4</v>
      </c>
      <c r="H9" s="19" t="s">
        <v>1</v>
      </c>
      <c r="I9" s="20">
        <f t="shared" si="0"/>
        <v>0</v>
      </c>
      <c r="J9" s="21">
        <f>COUNTIF($D$18:$D$314,$H9)</f>
        <v>0</v>
      </c>
      <c r="K9" s="33"/>
      <c r="L9" s="1"/>
    </row>
    <row r="10" spans="2:12" x14ac:dyDescent="0.25">
      <c r="C10" s="9"/>
      <c r="F10" s="91"/>
      <c r="G10" s="38" t="s">
        <v>30</v>
      </c>
      <c r="H10" s="22" t="s">
        <v>29</v>
      </c>
      <c r="I10" s="23">
        <f t="shared" si="0"/>
        <v>0</v>
      </c>
      <c r="J10" s="55"/>
      <c r="K10" s="24"/>
      <c r="L10" s="1"/>
    </row>
    <row r="11" spans="2:12" x14ac:dyDescent="0.25">
      <c r="C11" s="9"/>
      <c r="F11" s="91"/>
      <c r="G11" s="1"/>
      <c r="H11" s="17"/>
      <c r="I11" s="25">
        <f>SUM(I5:I10)</f>
        <v>0</v>
      </c>
      <c r="J11" s="26">
        <f>SUM(J5:J10)</f>
        <v>72</v>
      </c>
      <c r="K11" s="24"/>
      <c r="L11" s="1"/>
    </row>
    <row r="12" spans="2:12" x14ac:dyDescent="0.25">
      <c r="C12" s="9"/>
      <c r="F12" s="91"/>
      <c r="G12" s="1"/>
      <c r="H12" s="1"/>
      <c r="I12" s="1"/>
      <c r="J12" s="1"/>
      <c r="K12" s="1"/>
      <c r="L12" s="1"/>
    </row>
    <row r="13" spans="2:12" ht="15.75" x14ac:dyDescent="0.25">
      <c r="C13" s="9"/>
      <c r="F13" s="91"/>
      <c r="G13" s="48" t="str">
        <f>IF(COUNTIF(G14:G16, "") &lt;&gt; 3, "VALIDATION ERROR!", "")</f>
        <v>VALIDATION ERROR!</v>
      </c>
      <c r="H13" s="1"/>
      <c r="I13" s="1"/>
      <c r="J13" s="1"/>
      <c r="K13" s="1"/>
      <c r="L13" s="1"/>
    </row>
    <row r="14" spans="2:12" x14ac:dyDescent="0.25">
      <c r="C14" s="9"/>
      <c r="F14" s="91"/>
      <c r="G14" s="47" t="str">
        <f>IF($C$314&lt;&gt;$E$314,"REJ-01: " &amp; $C$314&amp;" [Exec Tm] rows  &lt;&gt;  " &amp; $E$314 &amp; " [Test Steps] rows", "")</f>
        <v>REJ-01: 295 [Exec Tm] rows  &lt;&gt;  222 [Test Steps] rows</v>
      </c>
      <c r="H14" s="1"/>
      <c r="I14" s="1"/>
      <c r="J14" s="1"/>
      <c r="K14" s="1"/>
      <c r="L14" s="1"/>
    </row>
    <row r="15" spans="2:12" x14ac:dyDescent="0.25">
      <c r="C15" s="9"/>
      <c r="F15" s="91"/>
      <c r="G15" s="47" t="str">
        <f>IF($D$314&lt;&gt;$E$314,"REJ-02: " &amp; $D$314&amp;" [Status] rows  &lt;&gt;  " &amp; $E$314 &amp; " [Test Steps] rows", "")</f>
        <v>REJ-02: 221 [Status] rows  &lt;&gt;  222 [Test Steps] rows</v>
      </c>
      <c r="H15" s="1"/>
      <c r="I15" s="1"/>
      <c r="J15" s="1"/>
      <c r="K15" s="1"/>
      <c r="L15" s="1"/>
    </row>
    <row r="16" spans="2:12" ht="6.6" customHeight="1" x14ac:dyDescent="0.25">
      <c r="B16" s="1"/>
      <c r="C16" s="1"/>
      <c r="D16" s="1"/>
      <c r="E16" s="1"/>
      <c r="F16" s="91"/>
      <c r="G16" s="47"/>
      <c r="H16" s="1"/>
      <c r="I16" s="1"/>
      <c r="J16" s="1"/>
      <c r="K16" s="1"/>
      <c r="L16" s="1"/>
    </row>
    <row r="17" spans="1:6" ht="15.75" x14ac:dyDescent="0.25">
      <c r="A17" s="92" t="s">
        <v>53</v>
      </c>
      <c r="B17" s="97" t="s">
        <v>39</v>
      </c>
      <c r="C17" s="98"/>
      <c r="D17" s="98"/>
      <c r="E17" s="99"/>
      <c r="F17" s="91" t="s">
        <v>53</v>
      </c>
    </row>
    <row r="18" spans="1:6" ht="24.75" x14ac:dyDescent="0.25">
      <c r="B18" s="42" t="s">
        <v>27</v>
      </c>
      <c r="C18" s="42" t="s">
        <v>21</v>
      </c>
      <c r="D18" s="42" t="s">
        <v>2</v>
      </c>
      <c r="E18" s="43" t="s">
        <v>22</v>
      </c>
      <c r="F18" s="91"/>
    </row>
    <row r="19" spans="1:6" x14ac:dyDescent="0.25">
      <c r="B19" s="28" t="str" cm="1">
        <f t="array" aca="1" ref="B19" ca="1">IF(AND(C19&lt;&gt;"",E19&lt;&gt;"")=TRUE, CELL("row",B19)-18,"")</f>
        <v/>
      </c>
      <c r="C19" s="29"/>
      <c r="D19" s="46" t="s">
        <v>9</v>
      </c>
      <c r="E19" s="37"/>
      <c r="F19" s="88"/>
    </row>
    <row r="20" spans="1:6" ht="409.5" x14ac:dyDescent="0.25">
      <c r="B20" s="28"/>
      <c r="C20" s="29"/>
      <c r="D20" s="46" t="s">
        <v>9</v>
      </c>
      <c r="E20" s="37" t="s">
        <v>70</v>
      </c>
      <c r="F20" s="88"/>
    </row>
    <row r="21" spans="1:6" ht="267.75" x14ac:dyDescent="0.25">
      <c r="B21" s="28" t="str" cm="1">
        <f t="array" aca="1" ref="B21" ca="1">IF(AND(C21&lt;&gt;"",E21&lt;&gt;"")=TRUE, CELL("row",B21)-18,"")</f>
        <v/>
      </c>
      <c r="C21" s="29"/>
      <c r="D21" s="46" t="s">
        <v>9</v>
      </c>
      <c r="E21" s="37" t="s">
        <v>67</v>
      </c>
      <c r="F21" s="88"/>
    </row>
    <row r="22" spans="1:6" ht="409.5" x14ac:dyDescent="0.25">
      <c r="B22" s="28" t="str" cm="1">
        <f t="array" aca="1" ref="B22" ca="1">IF(AND(C22&lt;&gt;"",E22&lt;&gt;"")=TRUE, CELL("row",B22)-18,"")</f>
        <v/>
      </c>
      <c r="C22" s="29"/>
      <c r="D22" s="46" t="s">
        <v>9</v>
      </c>
      <c r="E22" s="37" t="s">
        <v>68</v>
      </c>
      <c r="F22" s="88"/>
    </row>
    <row r="23" spans="1:6" ht="409.5" x14ac:dyDescent="0.25">
      <c r="B23" s="28" t="str" cm="1">
        <f t="array" aca="1" ref="B23" ca="1">IF(AND(C23&lt;&gt;"",E23&lt;&gt;"")=TRUE, CELL("row",B23)-18,"")</f>
        <v/>
      </c>
      <c r="C23" s="29"/>
      <c r="D23" s="46" t="s">
        <v>9</v>
      </c>
      <c r="E23" s="37" t="s">
        <v>69</v>
      </c>
      <c r="F23" s="88"/>
    </row>
    <row r="24" spans="1:6" ht="306" x14ac:dyDescent="0.25">
      <c r="B24" s="28" t="str" cm="1">
        <f t="array" aca="1" ref="B24" ca="1">IF(AND(C24&lt;&gt;"",E24&lt;&gt;"")=TRUE, CELL("row",B24)-18,"")</f>
        <v/>
      </c>
      <c r="C24" s="29"/>
      <c r="D24" s="46" t="s">
        <v>9</v>
      </c>
      <c r="E24" s="37" t="s">
        <v>71</v>
      </c>
      <c r="F24" s="88"/>
    </row>
    <row r="25" spans="1:6" ht="409.5" x14ac:dyDescent="0.25">
      <c r="B25" s="28" t="str" cm="1">
        <f t="array" aca="1" ref="B25" ca="1">IF(AND(C25&lt;&gt;"",E25&lt;&gt;"")=TRUE, CELL("row",B25)-18,"")</f>
        <v/>
      </c>
      <c r="C25" s="29"/>
      <c r="D25" s="46" t="s">
        <v>9</v>
      </c>
      <c r="E25" s="37" t="s">
        <v>72</v>
      </c>
      <c r="F25" s="91"/>
    </row>
    <row r="26" spans="1:6" ht="409.5" x14ac:dyDescent="0.25">
      <c r="B26" s="28" t="str" cm="1">
        <f t="array" aca="1" ref="B26" ca="1">IF(AND(C26&lt;&gt;"",E26&lt;&gt;"")=TRUE, CELL("row",B26)-18,"")</f>
        <v/>
      </c>
      <c r="C26" s="29"/>
      <c r="D26" s="46" t="s">
        <v>9</v>
      </c>
      <c r="E26" s="37" t="s">
        <v>73</v>
      </c>
      <c r="F26" s="91"/>
    </row>
    <row r="27" spans="1:6" ht="229.5" x14ac:dyDescent="0.25">
      <c r="B27" s="28" t="str" cm="1">
        <f t="array" aca="1" ref="B27" ca="1">IF(AND(C27&lt;&gt;"",E27&lt;&gt;"")=TRUE, CELL("row",B27)-18,"")</f>
        <v/>
      </c>
      <c r="C27" s="29"/>
      <c r="D27" s="46" t="s">
        <v>9</v>
      </c>
      <c r="E27" s="37" t="s">
        <v>74</v>
      </c>
      <c r="F27" s="91"/>
    </row>
    <row r="28" spans="1:6" ht="409.5" x14ac:dyDescent="0.25">
      <c r="B28" s="28" t="str" cm="1">
        <f t="array" aca="1" ref="B28" ca="1">IF(AND(C28&lt;&gt;"",E28&lt;&gt;"")=TRUE, CELL("row",B28)-18,"")</f>
        <v/>
      </c>
      <c r="C28" s="29"/>
      <c r="D28" s="46" t="s">
        <v>9</v>
      </c>
      <c r="E28" s="37" t="s">
        <v>75</v>
      </c>
      <c r="F28" s="91"/>
    </row>
    <row r="29" spans="1:6" ht="267.75" x14ac:dyDescent="0.25">
      <c r="B29" s="28" t="str" cm="1">
        <f t="array" aca="1" ref="B29" ca="1">IF(AND(C29&lt;&gt;"",E29&lt;&gt;"")=TRUE, CELL("row",B29)-18,"")</f>
        <v/>
      </c>
      <c r="C29" s="29"/>
      <c r="D29" s="46" t="s">
        <v>9</v>
      </c>
      <c r="E29" s="37" t="s">
        <v>76</v>
      </c>
      <c r="F29" s="91"/>
    </row>
    <row r="30" spans="1:6" ht="191.25" x14ac:dyDescent="0.25">
      <c r="B30" s="28" t="str" cm="1">
        <f t="array" aca="1" ref="B30" ca="1">IF(AND(C30&lt;&gt;"",E30&lt;&gt;"")=TRUE, CELL("row",B30)-18,"")</f>
        <v/>
      </c>
      <c r="C30" s="29"/>
      <c r="D30" s="46" t="s">
        <v>9</v>
      </c>
      <c r="E30" s="37" t="s">
        <v>77</v>
      </c>
      <c r="F30" s="91"/>
    </row>
    <row r="31" spans="1:6" ht="204" x14ac:dyDescent="0.25">
      <c r="B31" s="28" t="str" cm="1">
        <f t="array" aca="1" ref="B31" ca="1">IF(AND(C31&lt;&gt;"",E31&lt;&gt;"")=TRUE, CELL("row",B31)-18,"")</f>
        <v/>
      </c>
      <c r="C31" s="29"/>
      <c r="D31" s="46" t="s">
        <v>9</v>
      </c>
      <c r="E31" s="37" t="s">
        <v>78</v>
      </c>
      <c r="F31" s="91"/>
    </row>
    <row r="32" spans="1:6" ht="242.25" x14ac:dyDescent="0.25">
      <c r="B32" s="28" t="str" cm="1">
        <f t="array" aca="1" ref="B32" ca="1">IF(AND(C32&lt;&gt;"",E32&lt;&gt;"")=TRUE, CELL("row",B32)-18,"")</f>
        <v/>
      </c>
      <c r="C32" s="29"/>
      <c r="D32" s="46" t="s">
        <v>9</v>
      </c>
      <c r="E32" s="37" t="s">
        <v>79</v>
      </c>
      <c r="F32" s="91"/>
    </row>
    <row r="33" spans="2:6" ht="409.5" x14ac:dyDescent="0.25">
      <c r="B33" s="28" t="str" cm="1">
        <f t="array" aca="1" ref="B33" ca="1">IF(AND(C33&lt;&gt;"",E33&lt;&gt;"")=TRUE, CELL("row",B33)-18,"")</f>
        <v/>
      </c>
      <c r="C33" s="29"/>
      <c r="D33" s="46" t="s">
        <v>9</v>
      </c>
      <c r="E33" s="37" t="s">
        <v>80</v>
      </c>
      <c r="F33" s="91"/>
    </row>
    <row r="34" spans="2:6" ht="369.75" x14ac:dyDescent="0.25">
      <c r="B34" s="28" t="str" cm="1">
        <f t="array" aca="1" ref="B34" ca="1">IF(AND(C34&lt;&gt;"",E34&lt;&gt;"")=TRUE, CELL("row",B34)-18,"")</f>
        <v/>
      </c>
      <c r="C34" s="29"/>
      <c r="D34" s="46" t="s">
        <v>9</v>
      </c>
      <c r="E34" s="37" t="s">
        <v>81</v>
      </c>
      <c r="F34" s="91"/>
    </row>
    <row r="35" spans="2:6" ht="357" x14ac:dyDescent="0.25">
      <c r="B35" s="28" t="str" cm="1">
        <f t="array" aca="1" ref="B35" ca="1">IF(AND(C35&lt;&gt;"",E35&lt;&gt;"")=TRUE, CELL("row",B35)-18,"")</f>
        <v/>
      </c>
      <c r="C35" s="29"/>
      <c r="D35" s="46" t="s">
        <v>9</v>
      </c>
      <c r="E35" s="37" t="s">
        <v>82</v>
      </c>
      <c r="F35" s="91"/>
    </row>
    <row r="36" spans="2:6" ht="409.5" x14ac:dyDescent="0.25">
      <c r="B36" s="28" t="str" cm="1">
        <f t="array" aca="1" ref="B36" ca="1">IF(AND(C36&lt;&gt;"",E36&lt;&gt;"")=TRUE, CELL("row",B36)-18,"")</f>
        <v/>
      </c>
      <c r="C36" s="29"/>
      <c r="D36" s="46" t="s">
        <v>9</v>
      </c>
      <c r="E36" s="37" t="s">
        <v>83</v>
      </c>
      <c r="F36" s="91"/>
    </row>
    <row r="37" spans="2:6" ht="178.5" x14ac:dyDescent="0.25">
      <c r="B37" s="28" t="str" cm="1">
        <f t="array" aca="1" ref="B37" ca="1">IF(AND(C37&lt;&gt;"",E37&lt;&gt;"")=TRUE, CELL("row",B37)-18,"")</f>
        <v/>
      </c>
      <c r="C37" s="29"/>
      <c r="D37" s="46" t="s">
        <v>9</v>
      </c>
      <c r="E37" s="37" t="s">
        <v>84</v>
      </c>
      <c r="F37" s="88"/>
    </row>
    <row r="38" spans="2:6" ht="216.75" x14ac:dyDescent="0.25">
      <c r="B38" s="28" t="str" cm="1">
        <f t="array" aca="1" ref="B38" ca="1">IF(AND(C38&lt;&gt;"",E38&lt;&gt;"")=TRUE, CELL("row",B38)-18,"")</f>
        <v/>
      </c>
      <c r="C38" s="29"/>
      <c r="D38" s="46" t="s">
        <v>9</v>
      </c>
      <c r="E38" s="37" t="s">
        <v>85</v>
      </c>
      <c r="F38" s="91"/>
    </row>
    <row r="39" spans="2:6" ht="357" x14ac:dyDescent="0.25">
      <c r="B39" s="28" t="str" cm="1">
        <f t="array" aca="1" ref="B39" ca="1">IF(AND(C39&lt;&gt;"",E39&lt;&gt;"")=TRUE, CELL("row",B39)-18,"")</f>
        <v/>
      </c>
      <c r="C39" s="29"/>
      <c r="D39" s="46" t="s">
        <v>9</v>
      </c>
      <c r="E39" s="37" t="s">
        <v>86</v>
      </c>
      <c r="F39" s="91"/>
    </row>
    <row r="40" spans="2:6" ht="357" x14ac:dyDescent="0.25">
      <c r="B40" s="28" t="str" cm="1">
        <f t="array" aca="1" ref="B40" ca="1">IF(AND(C40&lt;&gt;"",E40&lt;&gt;"")=TRUE, CELL("row",B40)-18,"")</f>
        <v/>
      </c>
      <c r="C40" s="29"/>
      <c r="D40" s="46" t="s">
        <v>9</v>
      </c>
      <c r="E40" s="37" t="s">
        <v>87</v>
      </c>
      <c r="F40" s="91"/>
    </row>
    <row r="41" spans="2:6" ht="267.75" x14ac:dyDescent="0.25">
      <c r="B41" s="28" t="str" cm="1">
        <f t="array" aca="1" ref="B41" ca="1">IF(AND(C41&lt;&gt;"",E41&lt;&gt;"")=TRUE, CELL("row",B41)-18,"")</f>
        <v/>
      </c>
      <c r="C41" s="29"/>
      <c r="D41" s="46" t="s">
        <v>9</v>
      </c>
      <c r="E41" s="37" t="s">
        <v>88</v>
      </c>
      <c r="F41" s="91"/>
    </row>
    <row r="42" spans="2:6" ht="318.75" x14ac:dyDescent="0.25">
      <c r="B42" s="28" t="str" cm="1">
        <f t="array" aca="1" ref="B42" ca="1">IF(AND(C42&lt;&gt;"",E42&lt;&gt;"")=TRUE, CELL("row",B42)-18,"")</f>
        <v/>
      </c>
      <c r="C42" s="29"/>
      <c r="D42" s="46" t="s">
        <v>9</v>
      </c>
      <c r="E42" s="37" t="s">
        <v>55</v>
      </c>
      <c r="F42" s="91"/>
    </row>
    <row r="43" spans="2:6" ht="409.5" x14ac:dyDescent="0.25">
      <c r="B43" s="28" t="str" cm="1">
        <f t="array" aca="1" ref="B43" ca="1">IF(AND(C43&lt;&gt;"",E43&lt;&gt;"")=TRUE, CELL("row",B43)-18,"")</f>
        <v/>
      </c>
      <c r="C43" s="29"/>
      <c r="D43" s="46" t="s">
        <v>9</v>
      </c>
      <c r="E43" s="37" t="s">
        <v>89</v>
      </c>
      <c r="F43" s="91"/>
    </row>
    <row r="44" spans="2:6" ht="409.5" x14ac:dyDescent="0.25">
      <c r="B44" s="28" t="str" cm="1">
        <f t="array" aca="1" ref="B44" ca="1">IF(AND(C44&lt;&gt;"",E44&lt;&gt;"")=TRUE, CELL("row",B44)-18,"")</f>
        <v/>
      </c>
      <c r="C44" s="29"/>
      <c r="D44" s="46" t="s">
        <v>9</v>
      </c>
      <c r="E44" s="37" t="s">
        <v>90</v>
      </c>
      <c r="F44" s="91"/>
    </row>
    <row r="45" spans="2:6" ht="409.5" x14ac:dyDescent="0.25">
      <c r="B45" s="28" t="str" cm="1">
        <f t="array" aca="1" ref="B45" ca="1">IF(AND(C45&lt;&gt;"",E45&lt;&gt;"")=TRUE, CELL("row",B45)-18,"")</f>
        <v/>
      </c>
      <c r="C45" s="29"/>
      <c r="D45" s="46" t="s">
        <v>9</v>
      </c>
      <c r="E45" s="37" t="s">
        <v>90</v>
      </c>
      <c r="F45" s="91"/>
    </row>
    <row r="46" spans="2:6" ht="369.75" x14ac:dyDescent="0.25">
      <c r="B46" s="28" t="str" cm="1">
        <f t="array" aca="1" ref="B46" ca="1">IF(AND(C46&lt;&gt;"",E46&lt;&gt;"")=TRUE, CELL("row",B46)-18,"")</f>
        <v/>
      </c>
      <c r="C46" s="29"/>
      <c r="D46" s="46" t="s">
        <v>9</v>
      </c>
      <c r="E46" s="37" t="s">
        <v>91</v>
      </c>
      <c r="F46" s="91"/>
    </row>
    <row r="47" spans="2:6" ht="357" x14ac:dyDescent="0.25">
      <c r="B47" s="28" t="str" cm="1">
        <f t="array" aca="1" ref="B47" ca="1">IF(AND(C47&lt;&gt;"",E47&lt;&gt;"")=TRUE, CELL("row",B47)-18,"")</f>
        <v/>
      </c>
      <c r="C47" s="29"/>
      <c r="D47" s="46" t="s">
        <v>9</v>
      </c>
      <c r="E47" s="37" t="s">
        <v>92</v>
      </c>
      <c r="F47" s="91"/>
    </row>
    <row r="48" spans="2:6" ht="344.25" x14ac:dyDescent="0.25">
      <c r="B48" s="28" t="str" cm="1">
        <f t="array" aca="1" ref="B48" ca="1">IF(AND(C48&lt;&gt;"",E48&lt;&gt;"")=TRUE, CELL("row",B48)-18,"")</f>
        <v/>
      </c>
      <c r="C48" s="29"/>
      <c r="D48" s="46" t="s">
        <v>9</v>
      </c>
      <c r="E48" s="37" t="s">
        <v>93</v>
      </c>
      <c r="F48" s="91"/>
    </row>
    <row r="49" spans="2:6" ht="409.5" x14ac:dyDescent="0.25">
      <c r="B49" s="28" t="str" cm="1">
        <f t="array" aca="1" ref="B49" ca="1">IF(AND(C49&lt;&gt;"",E49&lt;&gt;"")=TRUE, CELL("row",B49)-18,"")</f>
        <v/>
      </c>
      <c r="C49" s="29"/>
      <c r="D49" s="46" t="s">
        <v>9</v>
      </c>
      <c r="E49" s="37" t="s">
        <v>94</v>
      </c>
      <c r="F49" s="91"/>
    </row>
    <row r="50" spans="2:6" ht="409.5" x14ac:dyDescent="0.25">
      <c r="B50" s="28" t="str" cm="1">
        <f t="array" aca="1" ref="B50" ca="1">IF(AND(C50&lt;&gt;"",E50&lt;&gt;"")=TRUE, CELL("row",B50)-18,"")</f>
        <v/>
      </c>
      <c r="C50" s="29"/>
      <c r="D50" s="46" t="s">
        <v>9</v>
      </c>
      <c r="E50" s="37" t="s">
        <v>95</v>
      </c>
      <c r="F50" s="91"/>
    </row>
    <row r="51" spans="2:6" ht="409.5" x14ac:dyDescent="0.25">
      <c r="B51" s="28" t="str" cm="1">
        <f t="array" aca="1" ref="B51" ca="1">IF(AND(C51&lt;&gt;"",E51&lt;&gt;"")=TRUE, CELL("row",B51)-18,"")</f>
        <v/>
      </c>
      <c r="C51" s="29"/>
      <c r="D51" s="46" t="s">
        <v>9</v>
      </c>
      <c r="E51" s="37" t="s">
        <v>96</v>
      </c>
      <c r="F51" s="91"/>
    </row>
    <row r="52" spans="2:6" ht="409.5" x14ac:dyDescent="0.25">
      <c r="B52" s="28" t="str" cm="1">
        <f t="array" aca="1" ref="B52" ca="1">IF(AND(C52&lt;&gt;"",E52&lt;&gt;"")=TRUE, CELL("row",B52)-18,"")</f>
        <v/>
      </c>
      <c r="C52" s="29"/>
      <c r="D52" s="46" t="s">
        <v>9</v>
      </c>
      <c r="E52" s="37" t="s">
        <v>97</v>
      </c>
      <c r="F52" s="91"/>
    </row>
    <row r="53" spans="2:6" ht="409.5" x14ac:dyDescent="0.25">
      <c r="B53" s="28" t="str" cm="1">
        <f t="array" aca="1" ref="B53" ca="1">IF(AND(C53&lt;&gt;"",E53&lt;&gt;"")=TRUE, CELL("row",B53)-18,"")</f>
        <v/>
      </c>
      <c r="C53" s="29"/>
      <c r="D53" s="46" t="s">
        <v>9</v>
      </c>
      <c r="E53" s="37" t="s">
        <v>98</v>
      </c>
      <c r="F53" s="91"/>
    </row>
    <row r="54" spans="2:6" ht="409.5" x14ac:dyDescent="0.25">
      <c r="B54" s="28" t="str" cm="1">
        <f t="array" aca="1" ref="B54" ca="1">IF(AND(C54&lt;&gt;"",E54&lt;&gt;"")=TRUE, CELL("row",B54)-18,"")</f>
        <v/>
      </c>
      <c r="C54" s="29"/>
      <c r="D54" s="46" t="s">
        <v>9</v>
      </c>
      <c r="E54" s="37" t="s">
        <v>99</v>
      </c>
      <c r="F54" s="91"/>
    </row>
    <row r="55" spans="2:6" ht="408" x14ac:dyDescent="0.25">
      <c r="B55" s="28" t="str" cm="1">
        <f t="array" aca="1" ref="B55" ca="1">IF(AND(C55&lt;&gt;"",E55&lt;&gt;"")=TRUE, CELL("row",B55)-18,"")</f>
        <v/>
      </c>
      <c r="C55" s="29"/>
      <c r="D55" s="46" t="s">
        <v>9</v>
      </c>
      <c r="E55" s="37" t="s">
        <v>100</v>
      </c>
      <c r="F55" s="91"/>
    </row>
    <row r="56" spans="2:6" ht="409.5" x14ac:dyDescent="0.25">
      <c r="B56" s="28" t="str" cm="1">
        <f t="array" aca="1" ref="B56" ca="1">IF(AND(C56&lt;&gt;"",E56&lt;&gt;"")=TRUE, CELL("row",B56)-18,"")</f>
        <v/>
      </c>
      <c r="C56" s="29"/>
      <c r="D56" s="46" t="s">
        <v>9</v>
      </c>
      <c r="E56" s="37" t="s">
        <v>101</v>
      </c>
      <c r="F56" s="91"/>
    </row>
    <row r="57" spans="2:6" ht="409.5" x14ac:dyDescent="0.25">
      <c r="B57" s="28" t="str" cm="1">
        <f t="array" aca="1" ref="B57" ca="1">IF(AND(C57&lt;&gt;"",E57&lt;&gt;"")=TRUE, CELL("row",B57)-18,"")</f>
        <v/>
      </c>
      <c r="C57" s="29"/>
      <c r="D57" s="46" t="s">
        <v>9</v>
      </c>
      <c r="E57" s="37" t="s">
        <v>102</v>
      </c>
      <c r="F57" s="91"/>
    </row>
    <row r="58" spans="2:6" ht="344.25" x14ac:dyDescent="0.25">
      <c r="B58" s="28" t="str" cm="1">
        <f t="array" aca="1" ref="B58" ca="1">IF(AND(C58&lt;&gt;"",E58&lt;&gt;"")=TRUE, CELL("row",B58)-18,"")</f>
        <v/>
      </c>
      <c r="C58" s="29"/>
      <c r="D58" s="46" t="s">
        <v>9</v>
      </c>
      <c r="E58" s="37" t="s">
        <v>103</v>
      </c>
      <c r="F58" s="91"/>
    </row>
    <row r="59" spans="2:6" ht="357" x14ac:dyDescent="0.25">
      <c r="B59" s="28" t="str" cm="1">
        <f t="array" aca="1" ref="B59" ca="1">IF(AND(C59&lt;&gt;"",E59&lt;&gt;"")=TRUE, CELL("row",B59)-18,"")</f>
        <v/>
      </c>
      <c r="C59" s="29"/>
      <c r="D59" s="46" t="s">
        <v>9</v>
      </c>
      <c r="E59" s="37" t="s">
        <v>104</v>
      </c>
      <c r="F59" s="91"/>
    </row>
    <row r="60" spans="2:6" ht="409.5" x14ac:dyDescent="0.25">
      <c r="B60" s="28" t="str" cm="1">
        <f t="array" aca="1" ref="B60" ca="1">IF(AND(C60&lt;&gt;"",E60&lt;&gt;"")=TRUE, CELL("row",B60)-18,"")</f>
        <v/>
      </c>
      <c r="C60" s="29"/>
      <c r="D60" s="46" t="s">
        <v>9</v>
      </c>
      <c r="E60" s="37" t="s">
        <v>105</v>
      </c>
      <c r="F60" s="91"/>
    </row>
    <row r="61" spans="2:6" ht="409.5" x14ac:dyDescent="0.25">
      <c r="B61" s="28" t="str" cm="1">
        <f t="array" aca="1" ref="B61" ca="1">IF(AND(C61&lt;&gt;"",E61&lt;&gt;"")=TRUE, CELL("row",B61)-18,"")</f>
        <v/>
      </c>
      <c r="C61" s="29"/>
      <c r="D61" s="46" t="s">
        <v>9</v>
      </c>
      <c r="E61" s="37" t="s">
        <v>106</v>
      </c>
      <c r="F61" s="91"/>
    </row>
    <row r="62" spans="2:6" ht="280.5" x14ac:dyDescent="0.25">
      <c r="B62" s="28" t="str" cm="1">
        <f t="array" aca="1" ref="B62" ca="1">IF(AND(C62&lt;&gt;"",E62&lt;&gt;"")=TRUE, CELL("row",B62)-18,"")</f>
        <v/>
      </c>
      <c r="C62" s="29"/>
      <c r="D62" s="46" t="s">
        <v>9</v>
      </c>
      <c r="E62" s="37" t="s">
        <v>107</v>
      </c>
      <c r="F62" s="91"/>
    </row>
    <row r="63" spans="2:6" ht="267.75" x14ac:dyDescent="0.25">
      <c r="B63" s="28" t="str" cm="1">
        <f t="array" aca="1" ref="B63" ca="1">IF(AND(C63&lt;&gt;"",E63&lt;&gt;"")=TRUE, CELL("row",B63)-18,"")</f>
        <v/>
      </c>
      <c r="C63" s="29"/>
      <c r="D63" s="46" t="s">
        <v>9</v>
      </c>
      <c r="E63" s="37" t="s">
        <v>108</v>
      </c>
      <c r="F63" s="91"/>
    </row>
    <row r="64" spans="2:6" ht="331.5" x14ac:dyDescent="0.25">
      <c r="B64" s="28" t="str" cm="1">
        <f t="array" aca="1" ref="B64" ca="1">IF(AND(C64&lt;&gt;"",E64&lt;&gt;"")=TRUE, CELL("row",B64)-18,"")</f>
        <v/>
      </c>
      <c r="C64" s="29"/>
      <c r="D64" s="46" t="s">
        <v>9</v>
      </c>
      <c r="E64" s="37" t="s">
        <v>109</v>
      </c>
      <c r="F64" s="91"/>
    </row>
    <row r="65" spans="2:6" ht="409.5" x14ac:dyDescent="0.25">
      <c r="B65" s="28" t="str" cm="1">
        <f t="array" aca="1" ref="B65" ca="1">IF(AND(C65&lt;&gt;"",E65&lt;&gt;"")=TRUE, CELL("row",B65)-18,"")</f>
        <v/>
      </c>
      <c r="C65" s="29"/>
      <c r="D65" s="46" t="s">
        <v>9</v>
      </c>
      <c r="E65" s="37" t="s">
        <v>56</v>
      </c>
      <c r="F65" s="91"/>
    </row>
    <row r="66" spans="2:6" ht="408" x14ac:dyDescent="0.25">
      <c r="B66" s="28" t="str" cm="1">
        <f t="array" aca="1" ref="B66" ca="1">IF(AND(C66&lt;&gt;"",E66&lt;&gt;"")=TRUE, CELL("row",B66)-18,"")</f>
        <v/>
      </c>
      <c r="C66" s="29"/>
      <c r="D66" s="46" t="s">
        <v>9</v>
      </c>
      <c r="E66" s="37" t="s">
        <v>110</v>
      </c>
      <c r="F66" s="91"/>
    </row>
    <row r="67" spans="2:6" ht="255" x14ac:dyDescent="0.25">
      <c r="B67" s="28" t="str" cm="1">
        <f t="array" aca="1" ref="B67" ca="1">IF(AND(C67&lt;&gt;"",E67&lt;&gt;"")=TRUE, CELL("row",B67)-18,"")</f>
        <v/>
      </c>
      <c r="C67" s="29"/>
      <c r="D67" s="46" t="s">
        <v>9</v>
      </c>
      <c r="E67" s="37" t="s">
        <v>111</v>
      </c>
      <c r="F67" s="91"/>
    </row>
    <row r="68" spans="2:6" ht="280.5" x14ac:dyDescent="0.25">
      <c r="B68" s="28" t="str" cm="1">
        <f t="array" aca="1" ref="B68" ca="1">IF(AND(C68&lt;&gt;"",E68&lt;&gt;"")=TRUE, CELL("row",B68)-18,"")</f>
        <v/>
      </c>
      <c r="C68" s="29"/>
      <c r="D68" s="46" t="s">
        <v>9</v>
      </c>
      <c r="E68" s="37" t="s">
        <v>112</v>
      </c>
      <c r="F68" s="91"/>
    </row>
    <row r="69" spans="2:6" ht="409.5" x14ac:dyDescent="0.25">
      <c r="B69" s="28" t="str" cm="1">
        <f t="array" aca="1" ref="B69" ca="1">IF(AND(C69&lt;&gt;"",E69&lt;&gt;"")=TRUE, CELL("row",B69)-18,"")</f>
        <v/>
      </c>
      <c r="C69" s="29"/>
      <c r="D69" s="46" t="s">
        <v>9</v>
      </c>
      <c r="E69" s="37" t="s">
        <v>113</v>
      </c>
      <c r="F69" s="91"/>
    </row>
    <row r="70" spans="2:6" ht="409.5" x14ac:dyDescent="0.25">
      <c r="B70" s="28" t="str" cm="1">
        <f t="array" aca="1" ref="B70" ca="1">IF(AND(C70&lt;&gt;"",E70&lt;&gt;"")=TRUE, CELL("row",B70)-18,"")</f>
        <v/>
      </c>
      <c r="C70" s="29"/>
      <c r="D70" s="46" t="s">
        <v>9</v>
      </c>
      <c r="E70" s="37" t="s">
        <v>114</v>
      </c>
      <c r="F70" s="91"/>
    </row>
    <row r="71" spans="2:6" ht="331.5" x14ac:dyDescent="0.25">
      <c r="B71" s="28" t="str" cm="1">
        <f t="array" aca="1" ref="B71" ca="1">IF(AND(C71&lt;&gt;"",E71&lt;&gt;"")=TRUE, CELL("row",B71)-18,"")</f>
        <v/>
      </c>
      <c r="C71" s="29"/>
      <c r="D71" s="46" t="s">
        <v>9</v>
      </c>
      <c r="E71" s="37" t="s">
        <v>115</v>
      </c>
      <c r="F71" s="91"/>
    </row>
    <row r="72" spans="2:6" ht="242.25" x14ac:dyDescent="0.25">
      <c r="B72" s="28" t="str" cm="1">
        <f t="array" aca="1" ref="B72" ca="1">IF(AND(C72&lt;&gt;"",E72&lt;&gt;"")=TRUE, CELL("row",B72)-18,"")</f>
        <v/>
      </c>
      <c r="C72" s="29"/>
      <c r="D72" s="46" t="s">
        <v>9</v>
      </c>
      <c r="E72" s="37" t="s">
        <v>116</v>
      </c>
      <c r="F72" s="91"/>
    </row>
    <row r="73" spans="2:6" ht="331.5" x14ac:dyDescent="0.25">
      <c r="B73" s="28" t="str" cm="1">
        <f t="array" aca="1" ref="B73" ca="1">IF(AND(C73&lt;&gt;"",E73&lt;&gt;"")=TRUE, CELL("row",B73)-18,"")</f>
        <v/>
      </c>
      <c r="C73" s="29"/>
      <c r="D73" s="46" t="s">
        <v>9</v>
      </c>
      <c r="E73" s="37" t="s">
        <v>117</v>
      </c>
      <c r="F73" s="91"/>
    </row>
    <row r="74" spans="2:6" ht="267.75" x14ac:dyDescent="0.25">
      <c r="B74" s="28" t="str" cm="1">
        <f t="array" aca="1" ref="B74" ca="1">IF(AND(C74&lt;&gt;"",E74&lt;&gt;"")=TRUE, CELL("row",B74)-18,"")</f>
        <v/>
      </c>
      <c r="C74" s="29"/>
      <c r="D74" s="46" t="s">
        <v>9</v>
      </c>
      <c r="E74" s="37" t="s">
        <v>118</v>
      </c>
      <c r="F74" s="91"/>
    </row>
    <row r="75" spans="2:6" ht="395.25" x14ac:dyDescent="0.25">
      <c r="B75" s="28" t="str" cm="1">
        <f t="array" aca="1" ref="B75" ca="1">IF(AND(C75&lt;&gt;"",E75&lt;&gt;"")=TRUE, CELL("row",B75)-18,"")</f>
        <v/>
      </c>
      <c r="C75" s="29"/>
      <c r="D75" s="46" t="s">
        <v>9</v>
      </c>
      <c r="E75" s="37" t="s">
        <v>119</v>
      </c>
      <c r="F75" s="91"/>
    </row>
    <row r="76" spans="2:6" ht="408" x14ac:dyDescent="0.25">
      <c r="B76" s="28" t="str" cm="1">
        <f t="array" aca="1" ref="B76" ca="1">IF(AND(C76&lt;&gt;"",E76&lt;&gt;"")=TRUE, CELL("row",B76)-18,"")</f>
        <v/>
      </c>
      <c r="C76" s="29"/>
      <c r="D76" s="46" t="s">
        <v>9</v>
      </c>
      <c r="E76" s="37" t="s">
        <v>120</v>
      </c>
      <c r="F76" s="91"/>
    </row>
    <row r="77" spans="2:6" ht="204" x14ac:dyDescent="0.25">
      <c r="B77" s="28" t="str" cm="1">
        <f t="array" aca="1" ref="B77" ca="1">IF(AND(C77&lt;&gt;"",E77&lt;&gt;"")=TRUE, CELL("row",B77)-18,"")</f>
        <v/>
      </c>
      <c r="C77" s="29"/>
      <c r="D77" s="46" t="s">
        <v>9</v>
      </c>
      <c r="E77" s="37" t="s">
        <v>121</v>
      </c>
      <c r="F77" s="91"/>
    </row>
    <row r="78" spans="2:6" ht="409.5" x14ac:dyDescent="0.25">
      <c r="B78" s="28" t="str" cm="1">
        <f t="array" aca="1" ref="B78" ca="1">IF(AND(C78&lt;&gt;"",E78&lt;&gt;"")=TRUE, CELL("row",B78)-18,"")</f>
        <v/>
      </c>
      <c r="C78" s="29"/>
      <c r="D78" s="46" t="s">
        <v>9</v>
      </c>
      <c r="E78" s="37" t="s">
        <v>136</v>
      </c>
      <c r="F78" s="91"/>
    </row>
    <row r="79" spans="2:6" ht="280.5" x14ac:dyDescent="0.25">
      <c r="B79" s="28" t="str" cm="1">
        <f t="array" aca="1" ref="B79" ca="1">IF(AND(C79&lt;&gt;"",E79&lt;&gt;"")=TRUE, CELL("row",B79)-18,"")</f>
        <v/>
      </c>
      <c r="C79" s="29"/>
      <c r="D79" s="46" t="s">
        <v>9</v>
      </c>
      <c r="E79" s="37" t="s">
        <v>122</v>
      </c>
      <c r="F79" s="91"/>
    </row>
    <row r="80" spans="2:6" ht="293.25" x14ac:dyDescent="0.25">
      <c r="B80" s="28" t="str" cm="1">
        <f t="array" aca="1" ref="B80" ca="1">IF(AND(C80&lt;&gt;"",E80&lt;&gt;"")=TRUE, CELL("row",B80)-18,"")</f>
        <v/>
      </c>
      <c r="C80" s="29"/>
      <c r="D80" s="46" t="s">
        <v>9</v>
      </c>
      <c r="E80" s="37" t="s">
        <v>123</v>
      </c>
      <c r="F80" s="91"/>
    </row>
    <row r="81" spans="2:6" ht="344.25" x14ac:dyDescent="0.25">
      <c r="B81" s="28" t="str" cm="1">
        <f t="array" aca="1" ref="B81" ca="1">IF(AND(C81&lt;&gt;"",E81&lt;&gt;"")=TRUE, CELL("row",B81)-18,"")</f>
        <v/>
      </c>
      <c r="C81" s="29"/>
      <c r="D81" s="46" t="s">
        <v>9</v>
      </c>
      <c r="E81" s="37" t="s">
        <v>135</v>
      </c>
      <c r="F81" s="91"/>
    </row>
    <row r="82" spans="2:6" ht="382.5" x14ac:dyDescent="0.25">
      <c r="B82" s="28" t="str" cm="1">
        <f t="array" aca="1" ref="B82" ca="1">IF(AND(C82&lt;&gt;"",E82&lt;&gt;"")=TRUE, CELL("row",B82)-18,"")</f>
        <v/>
      </c>
      <c r="C82" s="29"/>
      <c r="D82" s="46" t="s">
        <v>9</v>
      </c>
      <c r="E82" s="37" t="s">
        <v>124</v>
      </c>
      <c r="F82" s="91"/>
    </row>
    <row r="83" spans="2:6" ht="409.5" x14ac:dyDescent="0.25">
      <c r="B83" s="28" t="str" cm="1">
        <f t="array" aca="1" ref="B83" ca="1">IF(AND(C83&lt;&gt;"",E83&lt;&gt;"")=TRUE, CELL("row",B83)-18,"")</f>
        <v/>
      </c>
      <c r="C83" s="29"/>
      <c r="D83" s="46" t="s">
        <v>9</v>
      </c>
      <c r="E83" s="37" t="s">
        <v>125</v>
      </c>
      <c r="F83" s="91"/>
    </row>
    <row r="84" spans="2:6" ht="267.75" x14ac:dyDescent="0.25">
      <c r="B84" s="28" t="str" cm="1">
        <f t="array" aca="1" ref="B84" ca="1">IF(AND(C84&lt;&gt;"",E84&lt;&gt;"")=TRUE, CELL("row",B84)-18,"")</f>
        <v/>
      </c>
      <c r="C84" s="29"/>
      <c r="D84" s="46" t="s">
        <v>9</v>
      </c>
      <c r="E84" s="37" t="s">
        <v>126</v>
      </c>
      <c r="F84" s="91"/>
    </row>
    <row r="85" spans="2:6" ht="409.5" x14ac:dyDescent="0.25">
      <c r="B85" s="28" t="str" cm="1">
        <f t="array" aca="1" ref="B85" ca="1">IF(AND(C85&lt;&gt;"",E85&lt;&gt;"")=TRUE, CELL("row",B85)-18,"")</f>
        <v/>
      </c>
      <c r="C85" s="29"/>
      <c r="D85" s="46" t="s">
        <v>9</v>
      </c>
      <c r="E85" s="37" t="s">
        <v>127</v>
      </c>
      <c r="F85" s="91"/>
    </row>
    <row r="86" spans="2:6" ht="409.5" x14ac:dyDescent="0.25">
      <c r="B86" s="28" t="str" cm="1">
        <f t="array" aca="1" ref="B86" ca="1">IF(AND(C86&lt;&gt;"",E86&lt;&gt;"")=TRUE, CELL("row",B86)-18,"")</f>
        <v/>
      </c>
      <c r="C86" s="29"/>
      <c r="D86" s="46" t="s">
        <v>9</v>
      </c>
      <c r="E86" s="37" t="s">
        <v>134</v>
      </c>
      <c r="F86" s="91"/>
    </row>
    <row r="87" spans="2:6" ht="229.5" x14ac:dyDescent="0.25">
      <c r="B87" s="28" t="str" cm="1">
        <f t="array" aca="1" ref="B87" ca="1">IF(AND(C87&lt;&gt;"",E87&lt;&gt;"")=TRUE, CELL("row",B87)-18,"")</f>
        <v/>
      </c>
      <c r="C87" s="29"/>
      <c r="D87" s="46" t="s">
        <v>9</v>
      </c>
      <c r="E87" s="37" t="s">
        <v>128</v>
      </c>
      <c r="F87" s="91"/>
    </row>
    <row r="88" spans="2:6" ht="306" x14ac:dyDescent="0.25">
      <c r="B88" s="28" t="str" cm="1">
        <f t="array" aca="1" ref="B88" ca="1">IF(AND(C88&lt;&gt;"",E88&lt;&gt;"")=TRUE, CELL("row",B88)-18,"")</f>
        <v/>
      </c>
      <c r="C88" s="29"/>
      <c r="D88" s="46" t="s">
        <v>9</v>
      </c>
      <c r="E88" s="37" t="s">
        <v>129</v>
      </c>
      <c r="F88" s="91"/>
    </row>
    <row r="89" spans="2:6" ht="229.5" x14ac:dyDescent="0.25">
      <c r="B89" s="28" t="str" cm="1">
        <f t="array" aca="1" ref="B89" ca="1">IF(AND(C89&lt;&gt;"",E89&lt;&gt;"")=TRUE, CELL("row",B89)-18,"")</f>
        <v/>
      </c>
      <c r="C89" s="29"/>
      <c r="D89" s="46" t="s">
        <v>9</v>
      </c>
      <c r="E89" s="37" t="s">
        <v>130</v>
      </c>
      <c r="F89" s="91"/>
    </row>
    <row r="90" spans="2:6" ht="229.5" x14ac:dyDescent="0.25">
      <c r="B90" s="28" t="str" cm="1">
        <f t="array" aca="1" ref="B90" ca="1">IF(AND(C90&lt;&gt;"",E90&lt;&gt;"")=TRUE, CELL("row",B90)-18,"")</f>
        <v/>
      </c>
      <c r="C90" s="29"/>
      <c r="D90" s="46" t="s">
        <v>9</v>
      </c>
      <c r="E90" s="37" t="s">
        <v>131</v>
      </c>
      <c r="F90" s="91"/>
    </row>
    <row r="91" spans="2:6" ht="306" x14ac:dyDescent="0.25">
      <c r="B91" s="28" t="str" cm="1">
        <f t="array" aca="1" ref="B91" ca="1">IF(AND(C91&lt;&gt;"",E91&lt;&gt;"")=TRUE, CELL("row",B91)-18,"")</f>
        <v/>
      </c>
      <c r="C91" s="29"/>
      <c r="D91" s="46" t="s">
        <v>29</v>
      </c>
      <c r="E91" s="37" t="s">
        <v>132</v>
      </c>
      <c r="F91" s="91"/>
    </row>
    <row r="92" spans="2:6" ht="344.25" x14ac:dyDescent="0.25">
      <c r="B92" s="28" t="str" cm="1">
        <f t="array" aca="1" ref="B92" ca="1">IF(AND(C92&lt;&gt;"",E92&lt;&gt;"")=TRUE, CELL("row",B92)-18,"")</f>
        <v/>
      </c>
      <c r="C92" s="29"/>
      <c r="D92" s="46" t="s">
        <v>29</v>
      </c>
      <c r="E92" s="37" t="s">
        <v>133</v>
      </c>
      <c r="F92" s="91"/>
    </row>
    <row r="93" spans="2:6" x14ac:dyDescent="0.25">
      <c r="B93" s="28" t="str" cm="1">
        <f t="array" aca="1" ref="B93" ca="1">IF(AND(C93&lt;&gt;"",E93&lt;&gt;"")=TRUE, CELL("row",B93)-18,"")</f>
        <v/>
      </c>
      <c r="C93" s="29"/>
      <c r="D93" s="46"/>
      <c r="E93" s="37"/>
      <c r="F93" s="91"/>
    </row>
    <row r="94" spans="2:6" x14ac:dyDescent="0.25">
      <c r="B94" s="28" t="str" cm="1">
        <f t="array" aca="1" ref="B94" ca="1">IF(AND(C94&lt;&gt;"",E94&lt;&gt;"")=TRUE, CELL("row",B94)-18,"")</f>
        <v/>
      </c>
      <c r="C94" s="29"/>
      <c r="D94" s="46"/>
      <c r="E94" s="37"/>
      <c r="F94" s="91"/>
    </row>
    <row r="95" spans="2:6" x14ac:dyDescent="0.25">
      <c r="B95" s="28" t="str" cm="1">
        <f t="array" aca="1" ref="B95" ca="1">IF(AND(C95&lt;&gt;"",E95&lt;&gt;"")=TRUE, CELL("row",B95)-18,"")</f>
        <v/>
      </c>
      <c r="C95" s="29"/>
      <c r="D95" s="46"/>
      <c r="E95" s="37"/>
      <c r="F95" s="91"/>
    </row>
    <row r="96" spans="2:6" x14ac:dyDescent="0.25">
      <c r="B96" s="28" t="str" cm="1">
        <f t="array" aca="1" ref="B96" ca="1">IF(AND(C96&lt;&gt;"",E96&lt;&gt;"")=TRUE, CELL("row",B96)-18,"")</f>
        <v/>
      </c>
      <c r="C96" s="29"/>
      <c r="D96" s="46"/>
      <c r="E96" s="37"/>
      <c r="F96" s="91"/>
    </row>
    <row r="97" spans="2:6" x14ac:dyDescent="0.25">
      <c r="B97" s="28" t="str" cm="1">
        <f t="array" aca="1" ref="B97" ca="1">IF(AND(C97&lt;&gt;"",E97&lt;&gt;"")=TRUE, CELL("row",B97)-18,"")</f>
        <v/>
      </c>
      <c r="C97" s="29"/>
      <c r="D97" s="46"/>
      <c r="E97" s="37"/>
      <c r="F97" s="91"/>
    </row>
    <row r="98" spans="2:6" x14ac:dyDescent="0.25">
      <c r="B98" s="28" t="str" cm="1">
        <f t="array" aca="1" ref="B98" ca="1">IF(AND(C98&lt;&gt;"",E98&lt;&gt;"")=TRUE, CELL("row",B98)-18,"")</f>
        <v/>
      </c>
      <c r="C98" s="29"/>
      <c r="D98" s="46"/>
      <c r="E98" s="37"/>
      <c r="F98" s="91"/>
    </row>
    <row r="99" spans="2:6" x14ac:dyDescent="0.25">
      <c r="B99" s="28" t="str" cm="1">
        <f t="array" aca="1" ref="B99" ca="1">IF(AND(C99&lt;&gt;"",E99&lt;&gt;"")=TRUE, CELL("row",B99)-18,"")</f>
        <v/>
      </c>
      <c r="C99" s="29"/>
      <c r="D99" s="46"/>
      <c r="E99" s="37"/>
      <c r="F99" s="91"/>
    </row>
    <row r="100" spans="2:6" x14ac:dyDescent="0.25">
      <c r="B100" s="28" t="str" cm="1">
        <f t="array" aca="1" ref="B100" ca="1">IF(AND(C100&lt;&gt;"",E100&lt;&gt;"")=TRUE, CELL("row",B100)-18,"")</f>
        <v/>
      </c>
      <c r="C100" s="29"/>
      <c r="D100" s="46"/>
      <c r="E100" s="37"/>
      <c r="F100" s="91"/>
    </row>
    <row r="101" spans="2:6" x14ac:dyDescent="0.25">
      <c r="B101" s="28" t="str" cm="1">
        <f t="array" aca="1" ref="B101" ca="1">IF(AND(C101&lt;&gt;"",E101&lt;&gt;"")=TRUE, CELL("row",B101)-18,"")</f>
        <v/>
      </c>
      <c r="C101" s="29"/>
      <c r="D101" s="46"/>
      <c r="E101" s="37"/>
      <c r="F101" s="91"/>
    </row>
    <row r="102" spans="2:6" x14ac:dyDescent="0.25">
      <c r="B102" s="28" t="str" cm="1">
        <f t="array" aca="1" ref="B102" ca="1">IF(AND(C102&lt;&gt;"",E102&lt;&gt;"")=TRUE, CELL("row",B102)-18,"")</f>
        <v/>
      </c>
      <c r="C102" s="29"/>
      <c r="D102" s="46"/>
      <c r="E102" s="37"/>
      <c r="F102" s="91"/>
    </row>
    <row r="103" spans="2:6" x14ac:dyDescent="0.25">
      <c r="B103" s="28" t="str" cm="1">
        <f t="array" aca="1" ref="B103" ca="1">IF(AND(C103&lt;&gt;"",E103&lt;&gt;"")=TRUE, CELL("row",B103)-18,"")</f>
        <v/>
      </c>
      <c r="C103" s="29"/>
      <c r="D103" s="46"/>
      <c r="E103" s="37"/>
      <c r="F103" s="91"/>
    </row>
    <row r="104" spans="2:6" x14ac:dyDescent="0.25">
      <c r="B104" s="28" t="str" cm="1">
        <f t="array" aca="1" ref="B104" ca="1">IF(AND(C104&lt;&gt;"",E104&lt;&gt;"")=TRUE, CELL("row",B104)-18,"")</f>
        <v/>
      </c>
      <c r="C104" s="29"/>
      <c r="D104" s="46"/>
      <c r="E104" s="37"/>
      <c r="F104" s="91"/>
    </row>
    <row r="105" spans="2:6" x14ac:dyDescent="0.25">
      <c r="B105" s="28" t="str" cm="1">
        <f t="array" aca="1" ref="B105" ca="1">IF(AND(C105&lt;&gt;"",E105&lt;&gt;"")=TRUE, CELL("row",B105)-18,"")</f>
        <v/>
      </c>
      <c r="C105" s="29"/>
      <c r="D105" s="46"/>
      <c r="E105" s="37"/>
      <c r="F105" s="91"/>
    </row>
    <row r="106" spans="2:6" x14ac:dyDescent="0.25">
      <c r="B106" s="28" t="str" cm="1">
        <f t="array" aca="1" ref="B106" ca="1">IF(AND(C106&lt;&gt;"",E106&lt;&gt;"")=TRUE, CELL("row",B106)-18,"")</f>
        <v/>
      </c>
      <c r="C106" s="29"/>
      <c r="D106" s="46"/>
      <c r="E106" s="37"/>
      <c r="F106" s="91"/>
    </row>
    <row r="107" spans="2:6" x14ac:dyDescent="0.25">
      <c r="B107" s="28" t="str" cm="1">
        <f t="array" aca="1" ref="B107" ca="1">IF(AND(C107&lt;&gt;"",E107&lt;&gt;"")=TRUE, CELL("row",B107)-18,"")</f>
        <v/>
      </c>
      <c r="C107" s="29"/>
      <c r="D107" s="46"/>
      <c r="E107" s="37"/>
      <c r="F107" s="91"/>
    </row>
    <row r="108" spans="2:6" x14ac:dyDescent="0.25">
      <c r="B108" s="28" t="str" cm="1">
        <f t="array" aca="1" ref="B108" ca="1">IF(AND(C108&lt;&gt;"",E108&lt;&gt;"")=TRUE, CELL("row",B108)-18,"")</f>
        <v/>
      </c>
      <c r="C108" s="29"/>
      <c r="D108" s="46"/>
      <c r="E108" s="37"/>
      <c r="F108" s="91"/>
    </row>
    <row r="109" spans="2:6" x14ac:dyDescent="0.25">
      <c r="B109" s="28" t="str" cm="1">
        <f t="array" aca="1" ref="B109" ca="1">IF(AND(C109&lt;&gt;"",E109&lt;&gt;"")=TRUE, CELL("row",B109)-18,"")</f>
        <v/>
      </c>
      <c r="C109" s="29"/>
      <c r="D109" s="46"/>
      <c r="E109" s="37"/>
      <c r="F109" s="91"/>
    </row>
    <row r="110" spans="2:6" x14ac:dyDescent="0.25">
      <c r="B110" s="28" t="str" cm="1">
        <f t="array" aca="1" ref="B110" ca="1">IF(AND(C110&lt;&gt;"",E110&lt;&gt;"")=TRUE, CELL("row",B110)-18,"")</f>
        <v/>
      </c>
      <c r="C110" s="29"/>
      <c r="D110" s="46"/>
      <c r="E110" s="37"/>
      <c r="F110" s="91"/>
    </row>
    <row r="111" spans="2:6" x14ac:dyDescent="0.25">
      <c r="B111" s="28" t="str" cm="1">
        <f t="array" aca="1" ref="B111" ca="1">IF(AND(C111&lt;&gt;"",E111&lt;&gt;"")=TRUE, CELL("row",B111)-18,"")</f>
        <v/>
      </c>
      <c r="C111" s="29"/>
      <c r="D111" s="46"/>
      <c r="E111" s="37"/>
      <c r="F111" s="91"/>
    </row>
    <row r="112" spans="2:6" x14ac:dyDescent="0.25">
      <c r="B112" s="28" t="str" cm="1">
        <f t="array" aca="1" ref="B112" ca="1">IF(AND(C112&lt;&gt;"",E112&lt;&gt;"")=TRUE, CELL("row",B112)-18,"")</f>
        <v/>
      </c>
      <c r="C112" s="29"/>
      <c r="D112" s="46"/>
      <c r="E112" s="37"/>
      <c r="F112" s="91"/>
    </row>
    <row r="113" spans="2:6" x14ac:dyDescent="0.25">
      <c r="B113" s="28" t="str" cm="1">
        <f t="array" aca="1" ref="B113" ca="1">IF(AND(C113&lt;&gt;"",E113&lt;&gt;"")=TRUE, CELL("row",B113)-18,"")</f>
        <v/>
      </c>
      <c r="C113" s="29"/>
      <c r="D113" s="46"/>
      <c r="E113" s="37"/>
      <c r="F113" s="91"/>
    </row>
    <row r="114" spans="2:6" x14ac:dyDescent="0.25">
      <c r="B114" s="28" t="str" cm="1">
        <f t="array" aca="1" ref="B114" ca="1">IF(AND(C114&lt;&gt;"",E114&lt;&gt;"")=TRUE, CELL("row",B114)-18,"")</f>
        <v/>
      </c>
      <c r="C114" s="29"/>
      <c r="D114" s="46"/>
      <c r="E114" s="37"/>
      <c r="F114" s="91"/>
    </row>
    <row r="115" spans="2:6" x14ac:dyDescent="0.25">
      <c r="B115" s="28" t="str" cm="1">
        <f t="array" aca="1" ref="B115" ca="1">IF(AND(C115&lt;&gt;"",E115&lt;&gt;"")=TRUE, CELL("row",B115)-18,"")</f>
        <v/>
      </c>
      <c r="C115" s="29"/>
      <c r="D115" s="46"/>
      <c r="E115" s="37"/>
      <c r="F115" s="91"/>
    </row>
    <row r="116" spans="2:6" x14ac:dyDescent="0.25">
      <c r="B116" s="28" t="str" cm="1">
        <f t="array" aca="1" ref="B116" ca="1">IF(AND(C116&lt;&gt;"",E116&lt;&gt;"")=TRUE, CELL("row",B116)-18,"")</f>
        <v/>
      </c>
      <c r="C116" s="29"/>
      <c r="D116" s="46"/>
      <c r="E116" s="37"/>
      <c r="F116" s="91"/>
    </row>
    <row r="117" spans="2:6" x14ac:dyDescent="0.25">
      <c r="B117" s="28" t="str" cm="1">
        <f t="array" aca="1" ref="B117" ca="1">IF(AND(C117&lt;&gt;"",E117&lt;&gt;"")=TRUE, CELL("row",B117)-18,"")</f>
        <v/>
      </c>
      <c r="C117" s="29"/>
      <c r="D117" s="46"/>
      <c r="E117" s="37"/>
      <c r="F117" s="91"/>
    </row>
    <row r="118" spans="2:6" x14ac:dyDescent="0.25">
      <c r="B118" s="28" t="str" cm="1">
        <f t="array" aca="1" ref="B118" ca="1">IF(AND(C118&lt;&gt;"",E118&lt;&gt;"")=TRUE, CELL("row",B118)-18,"")</f>
        <v/>
      </c>
      <c r="C118" s="29"/>
      <c r="D118" s="46"/>
      <c r="E118" s="37"/>
      <c r="F118" s="91"/>
    </row>
    <row r="119" spans="2:6" x14ac:dyDescent="0.25">
      <c r="B119" s="28" t="str" cm="1">
        <f t="array" aca="1" ref="B119" ca="1">IF(AND(C119&lt;&gt;"",E119&lt;&gt;"")=TRUE, CELL("row",B119)-18,"")</f>
        <v/>
      </c>
      <c r="C119" s="29"/>
      <c r="D119" s="46"/>
      <c r="E119" s="37"/>
      <c r="F119" s="91"/>
    </row>
    <row r="120" spans="2:6" x14ac:dyDescent="0.25">
      <c r="B120" s="28" t="str" cm="1">
        <f t="array" aca="1" ref="B120" ca="1">IF(AND(C120&lt;&gt;"",E120&lt;&gt;"")=TRUE, CELL("row",B120)-18,"")</f>
        <v/>
      </c>
      <c r="C120" s="29"/>
      <c r="D120" s="46"/>
      <c r="E120" s="37"/>
      <c r="F120" s="91"/>
    </row>
    <row r="121" spans="2:6" x14ac:dyDescent="0.25">
      <c r="B121" s="28" t="str" cm="1">
        <f t="array" aca="1" ref="B121" ca="1">IF(AND(C121&lt;&gt;"",E121&lt;&gt;"")=TRUE, CELL("row",B121)-18,"")</f>
        <v/>
      </c>
      <c r="C121" s="29"/>
      <c r="D121" s="46"/>
      <c r="E121" s="37"/>
      <c r="F121" s="91"/>
    </row>
    <row r="122" spans="2:6" x14ac:dyDescent="0.25">
      <c r="B122" s="28" t="str" cm="1">
        <f t="array" aca="1" ref="B122" ca="1">IF(AND(C122&lt;&gt;"",E122&lt;&gt;"")=TRUE, CELL("row",B122)-18,"")</f>
        <v/>
      </c>
      <c r="C122" s="29"/>
      <c r="D122" s="46"/>
      <c r="E122" s="37"/>
      <c r="F122" s="91"/>
    </row>
    <row r="123" spans="2:6" x14ac:dyDescent="0.25">
      <c r="B123" s="28" t="str" cm="1">
        <f t="array" aca="1" ref="B123" ca="1">IF(AND(C123&lt;&gt;"",E123&lt;&gt;"")=TRUE, CELL("row",B123)-18,"")</f>
        <v/>
      </c>
      <c r="C123" s="29"/>
      <c r="D123" s="46"/>
      <c r="E123" s="37"/>
      <c r="F123" s="91"/>
    </row>
    <row r="124" spans="2:6" x14ac:dyDescent="0.25">
      <c r="B124" s="28" t="str" cm="1">
        <f t="array" aca="1" ref="B124" ca="1">IF(AND(C124&lt;&gt;"",E124&lt;&gt;"")=TRUE, CELL("row",B124)-18,"")</f>
        <v/>
      </c>
      <c r="C124" s="29"/>
      <c r="D124" s="46"/>
      <c r="E124" s="37"/>
      <c r="F124" s="91"/>
    </row>
    <row r="125" spans="2:6" x14ac:dyDescent="0.25">
      <c r="B125" s="28" t="str" cm="1">
        <f t="array" aca="1" ref="B125" ca="1">IF(AND(C125&lt;&gt;"",E125&lt;&gt;"")=TRUE, CELL("row",B125)-18,"")</f>
        <v/>
      </c>
      <c r="C125" s="29"/>
      <c r="D125" s="46"/>
      <c r="E125" s="37"/>
      <c r="F125" s="91"/>
    </row>
    <row r="126" spans="2:6" x14ac:dyDescent="0.25">
      <c r="B126" s="28" t="str" cm="1">
        <f t="array" aca="1" ref="B126" ca="1">IF(AND(C126&lt;&gt;"",E126&lt;&gt;"")=TRUE, CELL("row",B126)-18,"")</f>
        <v/>
      </c>
      <c r="C126" s="29"/>
      <c r="D126" s="46"/>
      <c r="E126" s="37"/>
      <c r="F126" s="91"/>
    </row>
    <row r="127" spans="2:6" x14ac:dyDescent="0.25">
      <c r="B127" s="28" t="str" cm="1">
        <f t="array" aca="1" ref="B127" ca="1">IF(AND(C127&lt;&gt;"",E127&lt;&gt;"")=TRUE, CELL("row",B127)-18,"")</f>
        <v/>
      </c>
      <c r="C127" s="29"/>
      <c r="D127" s="46"/>
      <c r="E127" s="37"/>
      <c r="F127" s="91"/>
    </row>
    <row r="128" spans="2:6" x14ac:dyDescent="0.25">
      <c r="B128" s="28" t="str" cm="1">
        <f t="array" aca="1" ref="B128" ca="1">IF(AND(C128&lt;&gt;"",E128&lt;&gt;"")=TRUE, CELL("row",B128)-18,"")</f>
        <v/>
      </c>
      <c r="C128" s="29"/>
      <c r="D128" s="46"/>
      <c r="E128" s="37"/>
      <c r="F128" s="91"/>
    </row>
    <row r="129" spans="2:6" x14ac:dyDescent="0.25">
      <c r="B129" s="28" t="str" cm="1">
        <f t="array" aca="1" ref="B129" ca="1">IF(AND(C129&lt;&gt;"",E129&lt;&gt;"")=TRUE, CELL("row",B129)-18,"")</f>
        <v/>
      </c>
      <c r="C129" s="29"/>
      <c r="D129" s="46"/>
      <c r="E129" s="37"/>
      <c r="F129" s="91"/>
    </row>
    <row r="130" spans="2:6" x14ac:dyDescent="0.25">
      <c r="B130" s="28" t="str" cm="1">
        <f t="array" aca="1" ref="B130" ca="1">IF(AND(C130&lt;&gt;"",E130&lt;&gt;"")=TRUE, CELL("row",B130)-18,"")</f>
        <v/>
      </c>
      <c r="C130" s="29"/>
      <c r="D130" s="46"/>
      <c r="E130" s="37"/>
      <c r="F130" s="91"/>
    </row>
    <row r="131" spans="2:6" x14ac:dyDescent="0.25">
      <c r="B131" s="28" t="str" cm="1">
        <f t="array" aca="1" ref="B131" ca="1">IF(AND(C131&lt;&gt;"",E131&lt;&gt;"")=TRUE, CELL("row",B131)-18,"")</f>
        <v/>
      </c>
      <c r="C131" s="29"/>
      <c r="D131" s="46"/>
      <c r="E131" s="37"/>
      <c r="F131" s="91"/>
    </row>
    <row r="132" spans="2:6" x14ac:dyDescent="0.25">
      <c r="B132" s="28" t="str" cm="1">
        <f t="array" aca="1" ref="B132" ca="1">IF(AND(C132&lt;&gt;"",E132&lt;&gt;"")=TRUE, CELL("row",B132)-18,"")</f>
        <v/>
      </c>
      <c r="C132" s="29"/>
      <c r="D132" s="46"/>
      <c r="E132" s="37"/>
      <c r="F132" s="91"/>
    </row>
    <row r="133" spans="2:6" x14ac:dyDescent="0.25">
      <c r="B133" s="28" t="str" cm="1">
        <f t="array" aca="1" ref="B133" ca="1">IF(AND(C133&lt;&gt;"",E133&lt;&gt;"")=TRUE, CELL("row",B133)-18,"")</f>
        <v/>
      </c>
      <c r="C133" s="29"/>
      <c r="D133" s="46"/>
      <c r="E133" s="37"/>
      <c r="F133" s="91"/>
    </row>
    <row r="134" spans="2:6" x14ac:dyDescent="0.25">
      <c r="B134" s="28" t="str" cm="1">
        <f t="array" aca="1" ref="B134" ca="1">IF(AND(C134&lt;&gt;"",E134&lt;&gt;"")=TRUE, CELL("row",B134)-18,"")</f>
        <v/>
      </c>
      <c r="C134" s="29"/>
      <c r="D134" s="46"/>
      <c r="E134" s="37"/>
      <c r="F134" s="91"/>
    </row>
    <row r="135" spans="2:6" x14ac:dyDescent="0.25">
      <c r="B135" s="28" t="str" cm="1">
        <f t="array" aca="1" ref="B135" ca="1">IF(AND(C135&lt;&gt;"",E135&lt;&gt;"")=TRUE, CELL("row",B135)-18,"")</f>
        <v/>
      </c>
      <c r="C135" s="29"/>
      <c r="D135" s="46"/>
      <c r="E135" s="37"/>
      <c r="F135" s="91"/>
    </row>
    <row r="136" spans="2:6" x14ac:dyDescent="0.25">
      <c r="B136" s="28" t="str" cm="1">
        <f t="array" aca="1" ref="B136" ca="1">IF(AND(C136&lt;&gt;"",E136&lt;&gt;"")=TRUE, CELL("row",B136)-18,"")</f>
        <v/>
      </c>
      <c r="C136" s="29"/>
      <c r="D136" s="46"/>
      <c r="E136" s="37"/>
      <c r="F136" s="91"/>
    </row>
    <row r="137" spans="2:6" x14ac:dyDescent="0.25">
      <c r="B137" s="28" t="str" cm="1">
        <f t="array" aca="1" ref="B137" ca="1">IF(AND(C137&lt;&gt;"",E137&lt;&gt;"")=TRUE, CELL("row",B137)-18,"")</f>
        <v/>
      </c>
      <c r="C137" s="29"/>
      <c r="D137" s="46"/>
      <c r="E137" s="37"/>
      <c r="F137" s="91"/>
    </row>
    <row r="138" spans="2:6" x14ac:dyDescent="0.25">
      <c r="B138" s="28" t="str" cm="1">
        <f t="array" aca="1" ref="B138" ca="1">IF(AND(C138&lt;&gt;"",E138&lt;&gt;"")=TRUE, CELL("row",B138)-18,"")</f>
        <v/>
      </c>
      <c r="C138" s="29"/>
      <c r="D138" s="46"/>
      <c r="E138" s="37"/>
      <c r="F138" s="91"/>
    </row>
    <row r="139" spans="2:6" x14ac:dyDescent="0.25">
      <c r="B139" s="28" t="str" cm="1">
        <f t="array" aca="1" ref="B139" ca="1">IF(AND(C139&lt;&gt;"",E139&lt;&gt;"")=TRUE, CELL("row",B139)-18,"")</f>
        <v/>
      </c>
      <c r="C139" s="29"/>
      <c r="D139" s="46"/>
      <c r="E139" s="37"/>
      <c r="F139" s="91"/>
    </row>
    <row r="140" spans="2:6" x14ac:dyDescent="0.25">
      <c r="B140" s="28" t="str" cm="1">
        <f t="array" aca="1" ref="B140" ca="1">IF(AND(C140&lt;&gt;"",E140&lt;&gt;"")=TRUE, CELL("row",B140)-18,"")</f>
        <v/>
      </c>
      <c r="C140" s="29"/>
      <c r="D140" s="46"/>
      <c r="E140" s="37"/>
      <c r="F140" s="91"/>
    </row>
    <row r="141" spans="2:6" x14ac:dyDescent="0.25">
      <c r="B141" s="28" t="str" cm="1">
        <f t="array" aca="1" ref="B141" ca="1">IF(AND(C141&lt;&gt;"",E141&lt;&gt;"")=TRUE, CELL("row",B141)-18,"")</f>
        <v/>
      </c>
      <c r="C141" s="29"/>
      <c r="D141" s="46"/>
      <c r="E141" s="37"/>
      <c r="F141" s="91"/>
    </row>
    <row r="142" spans="2:6" x14ac:dyDescent="0.25">
      <c r="B142" s="28" t="str" cm="1">
        <f t="array" aca="1" ref="B142" ca="1">IF(AND(C142&lt;&gt;"",E142&lt;&gt;"")=TRUE, CELL("row",B142)-18,"")</f>
        <v/>
      </c>
      <c r="C142" s="29"/>
      <c r="D142" s="46"/>
      <c r="E142" s="37"/>
      <c r="F142" s="91"/>
    </row>
    <row r="143" spans="2:6" x14ac:dyDescent="0.25">
      <c r="B143" s="28" t="str" cm="1">
        <f t="array" aca="1" ref="B143" ca="1">IF(AND(C143&lt;&gt;"",E143&lt;&gt;"")=TRUE, CELL("row",B143)-18,"")</f>
        <v/>
      </c>
      <c r="C143" s="29"/>
      <c r="D143" s="46"/>
      <c r="E143" s="37"/>
      <c r="F143" s="91"/>
    </row>
    <row r="144" spans="2:6" x14ac:dyDescent="0.25">
      <c r="B144" s="28" t="str" cm="1">
        <f t="array" aca="1" ref="B144" ca="1">IF(AND(C144&lt;&gt;"",E144&lt;&gt;"")=TRUE, CELL("row",B144)-18,"")</f>
        <v/>
      </c>
      <c r="C144" s="29"/>
      <c r="D144" s="46"/>
      <c r="E144" s="37"/>
      <c r="F144" s="91"/>
    </row>
    <row r="145" spans="2:6" x14ac:dyDescent="0.25">
      <c r="B145" s="28" t="str" cm="1">
        <f t="array" aca="1" ref="B145" ca="1">IF(AND(C145&lt;&gt;"",E145&lt;&gt;"")=TRUE, CELL("row",B145)-18,"")</f>
        <v/>
      </c>
      <c r="C145" s="29"/>
      <c r="D145" s="46"/>
      <c r="E145" s="37"/>
      <c r="F145" s="91"/>
    </row>
    <row r="146" spans="2:6" x14ac:dyDescent="0.25">
      <c r="B146" s="28" t="str" cm="1">
        <f t="array" aca="1" ref="B146" ca="1">IF(AND(C146&lt;&gt;"",E146&lt;&gt;"")=TRUE, CELL("row",B146)-18,"")</f>
        <v/>
      </c>
      <c r="C146" s="29"/>
      <c r="D146" s="46"/>
      <c r="E146" s="37"/>
      <c r="F146" s="91"/>
    </row>
    <row r="147" spans="2:6" x14ac:dyDescent="0.25">
      <c r="B147" s="28" t="str" cm="1">
        <f t="array" aca="1" ref="B147" ca="1">IF(AND(C147&lt;&gt;"",E147&lt;&gt;"")=TRUE, CELL("row",B147)-18,"")</f>
        <v/>
      </c>
      <c r="C147" s="29"/>
      <c r="D147" s="46"/>
      <c r="E147" s="37"/>
      <c r="F147" s="91"/>
    </row>
    <row r="148" spans="2:6" x14ac:dyDescent="0.25">
      <c r="B148" s="28" t="str" cm="1">
        <f t="array" aca="1" ref="B148" ca="1">IF(AND(C148&lt;&gt;"",E148&lt;&gt;"")=TRUE, CELL("row",B148)-18,"")</f>
        <v/>
      </c>
      <c r="C148" s="29"/>
      <c r="D148" s="46"/>
      <c r="E148" s="37"/>
      <c r="F148" s="91"/>
    </row>
    <row r="149" spans="2:6" x14ac:dyDescent="0.25">
      <c r="B149" s="28" t="str" cm="1">
        <f t="array" aca="1" ref="B149" ca="1">IF(AND(C149&lt;&gt;"",E149&lt;&gt;"")=TRUE, CELL("row",B149)-18,"")</f>
        <v/>
      </c>
      <c r="C149" s="29"/>
      <c r="D149" s="46"/>
      <c r="E149" s="37"/>
      <c r="F149" s="91"/>
    </row>
    <row r="150" spans="2:6" x14ac:dyDescent="0.25">
      <c r="B150" s="28" t="str" cm="1">
        <f t="array" aca="1" ref="B150" ca="1">IF(AND(C150&lt;&gt;"",E150&lt;&gt;"")=TRUE, CELL("row",B150)-18,"")</f>
        <v/>
      </c>
      <c r="C150" s="29"/>
      <c r="D150" s="46"/>
      <c r="E150" s="37"/>
      <c r="F150" s="91"/>
    </row>
    <row r="151" spans="2:6" x14ac:dyDescent="0.25">
      <c r="B151" s="28" t="str" cm="1">
        <f t="array" aca="1" ref="B151" ca="1">IF(AND(C151&lt;&gt;"",E151&lt;&gt;"")=TRUE, CELL("row",B151)-18,"")</f>
        <v/>
      </c>
      <c r="C151" s="29"/>
      <c r="D151" s="46"/>
      <c r="E151" s="37"/>
      <c r="F151" s="91"/>
    </row>
    <row r="152" spans="2:6" x14ac:dyDescent="0.25">
      <c r="B152" s="28" t="str" cm="1">
        <f t="array" aca="1" ref="B152" ca="1">IF(AND(C152&lt;&gt;"",E152&lt;&gt;"")=TRUE, CELL("row",B152)-18,"")</f>
        <v/>
      </c>
      <c r="C152" s="29"/>
      <c r="D152" s="46"/>
      <c r="E152" s="37"/>
      <c r="F152" s="91"/>
    </row>
    <row r="153" spans="2:6" x14ac:dyDescent="0.25">
      <c r="B153" s="28" t="str" cm="1">
        <f t="array" aca="1" ref="B153" ca="1">IF(AND(C153&lt;&gt;"",E153&lt;&gt;"")=TRUE, CELL("row",B153)-18,"")</f>
        <v/>
      </c>
      <c r="C153" s="29"/>
      <c r="D153" s="46"/>
      <c r="E153" s="37"/>
      <c r="F153" s="91"/>
    </row>
    <row r="154" spans="2:6" x14ac:dyDescent="0.25">
      <c r="B154" s="28" t="str" cm="1">
        <f t="array" aca="1" ref="B154" ca="1">IF(AND(C154&lt;&gt;"",E154&lt;&gt;"")=TRUE, CELL("row",B154)-18,"")</f>
        <v/>
      </c>
      <c r="C154" s="29"/>
      <c r="D154" s="46"/>
      <c r="E154" s="37"/>
      <c r="F154" s="91"/>
    </row>
    <row r="155" spans="2:6" x14ac:dyDescent="0.25">
      <c r="B155" s="28" t="str" cm="1">
        <f t="array" aca="1" ref="B155" ca="1">IF(AND(C155&lt;&gt;"",E155&lt;&gt;"")=TRUE, CELL("row",B155)-18,"")</f>
        <v/>
      </c>
      <c r="C155" s="29"/>
      <c r="D155" s="46"/>
      <c r="E155" s="37"/>
      <c r="F155" s="91"/>
    </row>
    <row r="156" spans="2:6" x14ac:dyDescent="0.25">
      <c r="B156" s="28" t="str" cm="1">
        <f t="array" aca="1" ref="B156" ca="1">IF(AND(C156&lt;&gt;"",E156&lt;&gt;"")=TRUE, CELL("row",B156)-18,"")</f>
        <v/>
      </c>
      <c r="C156" s="29"/>
      <c r="D156" s="46"/>
      <c r="E156" s="37"/>
      <c r="F156" s="91"/>
    </row>
    <row r="157" spans="2:6" x14ac:dyDescent="0.25">
      <c r="B157" s="28" t="str" cm="1">
        <f t="array" aca="1" ref="B157" ca="1">IF(AND(C157&lt;&gt;"",E157&lt;&gt;"")=TRUE, CELL("row",B157)-18,"")</f>
        <v/>
      </c>
      <c r="C157" s="29"/>
      <c r="D157" s="46"/>
      <c r="E157" s="37"/>
      <c r="F157" s="91"/>
    </row>
    <row r="158" spans="2:6" x14ac:dyDescent="0.25">
      <c r="B158" s="28" t="str" cm="1">
        <f t="array" aca="1" ref="B158" ca="1">IF(AND(C158&lt;&gt;"",E158&lt;&gt;"")=TRUE, CELL("row",B158)-18,"")</f>
        <v/>
      </c>
      <c r="C158" s="29"/>
      <c r="D158" s="46"/>
      <c r="E158" s="37"/>
      <c r="F158" s="91"/>
    </row>
    <row r="159" spans="2:6" x14ac:dyDescent="0.25">
      <c r="B159" s="28" t="str" cm="1">
        <f t="array" aca="1" ref="B159" ca="1">IF(AND(C159&lt;&gt;"",E159&lt;&gt;"")=TRUE, CELL("row",B159)-18,"")</f>
        <v/>
      </c>
      <c r="C159" s="29"/>
      <c r="D159" s="46"/>
      <c r="E159" s="37"/>
      <c r="F159" s="91"/>
    </row>
    <row r="160" spans="2:6" x14ac:dyDescent="0.25">
      <c r="B160" s="28" t="str" cm="1">
        <f t="array" aca="1" ref="B160" ca="1">IF(AND(C160&lt;&gt;"",E160&lt;&gt;"")=TRUE, CELL("row",B160)-18,"")</f>
        <v/>
      </c>
      <c r="C160" s="29"/>
      <c r="D160" s="46"/>
      <c r="E160" s="37"/>
      <c r="F160" s="91"/>
    </row>
    <row r="161" spans="2:6" x14ac:dyDescent="0.25">
      <c r="B161" s="28" t="str" cm="1">
        <f t="array" aca="1" ref="B161" ca="1">IF(AND(C161&lt;&gt;"",E161&lt;&gt;"")=TRUE, CELL("row",B161)-18,"")</f>
        <v/>
      </c>
      <c r="C161" s="29"/>
      <c r="D161" s="46"/>
      <c r="E161" s="37"/>
      <c r="F161" s="91"/>
    </row>
    <row r="162" spans="2:6" x14ac:dyDescent="0.25">
      <c r="B162" s="28" t="str" cm="1">
        <f t="array" aca="1" ref="B162" ca="1">IF(AND(C162&lt;&gt;"",E162&lt;&gt;"")=TRUE, CELL("row",B162)-18,"")</f>
        <v/>
      </c>
      <c r="C162" s="29"/>
      <c r="D162" s="46"/>
      <c r="E162" s="37"/>
      <c r="F162" s="91"/>
    </row>
    <row r="163" spans="2:6" x14ac:dyDescent="0.25">
      <c r="B163" s="28" t="str" cm="1">
        <f t="array" aca="1" ref="B163" ca="1">IF(AND(C163&lt;&gt;"",E163&lt;&gt;"")=TRUE, CELL("row",B163)-18,"")</f>
        <v/>
      </c>
      <c r="C163" s="29"/>
      <c r="D163" s="46"/>
      <c r="E163" s="37"/>
      <c r="F163" s="91"/>
    </row>
    <row r="164" spans="2:6" x14ac:dyDescent="0.25">
      <c r="B164" s="28" t="str" cm="1">
        <f t="array" aca="1" ref="B164" ca="1">IF(AND(C164&lt;&gt;"",E164&lt;&gt;"")=TRUE, CELL("row",B164)-18,"")</f>
        <v/>
      </c>
      <c r="C164" s="29"/>
      <c r="D164" s="46"/>
      <c r="E164" s="37"/>
      <c r="F164" s="91"/>
    </row>
    <row r="165" spans="2:6" x14ac:dyDescent="0.25">
      <c r="B165" s="28" t="str" cm="1">
        <f t="array" aca="1" ref="B165" ca="1">IF(AND(C165&lt;&gt;"",E165&lt;&gt;"")=TRUE, CELL("row",B165)-18,"")</f>
        <v/>
      </c>
      <c r="C165" s="29"/>
      <c r="D165" s="46"/>
      <c r="E165" s="37"/>
      <c r="F165" s="91"/>
    </row>
    <row r="166" spans="2:6" x14ac:dyDescent="0.25">
      <c r="B166" s="28" t="str" cm="1">
        <f t="array" aca="1" ref="B166" ca="1">IF(AND(C166&lt;&gt;"",E166&lt;&gt;"")=TRUE, CELL("row",B166)-18,"")</f>
        <v/>
      </c>
      <c r="C166" s="29"/>
      <c r="D166" s="46"/>
      <c r="E166" s="37"/>
      <c r="F166" s="91"/>
    </row>
    <row r="167" spans="2:6" x14ac:dyDescent="0.25">
      <c r="B167" s="28" t="str" cm="1">
        <f t="array" aca="1" ref="B167" ca="1">IF(AND(C167&lt;&gt;"",E167&lt;&gt;"")=TRUE, CELL("row",B167)-18,"")</f>
        <v/>
      </c>
      <c r="C167" s="29"/>
      <c r="D167" s="46"/>
      <c r="E167" s="37"/>
      <c r="F167" s="91"/>
    </row>
    <row r="168" spans="2:6" x14ac:dyDescent="0.25">
      <c r="B168" s="28" t="str" cm="1">
        <f t="array" aca="1" ref="B168" ca="1">IF(AND(C168&lt;&gt;"",E168&lt;&gt;"")=TRUE, CELL("row",B168)-18,"")</f>
        <v/>
      </c>
      <c r="C168" s="29"/>
      <c r="D168" s="46"/>
      <c r="E168" s="37"/>
      <c r="F168" s="91"/>
    </row>
    <row r="169" spans="2:6" x14ac:dyDescent="0.25">
      <c r="B169" s="28" t="str" cm="1">
        <f t="array" aca="1" ref="B169" ca="1">IF(AND(C169&lt;&gt;"",E169&lt;&gt;"")=TRUE, CELL("row",B169)-18,"")</f>
        <v/>
      </c>
      <c r="C169" s="29"/>
      <c r="D169" s="46"/>
      <c r="E169" s="37"/>
      <c r="F169" s="91"/>
    </row>
    <row r="170" spans="2:6" x14ac:dyDescent="0.25">
      <c r="B170" s="28" t="str" cm="1">
        <f t="array" aca="1" ref="B170" ca="1">IF(AND(C170&lt;&gt;"",E170&lt;&gt;"")=TRUE, CELL("row",B170)-18,"")</f>
        <v/>
      </c>
      <c r="C170" s="29"/>
      <c r="D170" s="46"/>
      <c r="E170" s="37"/>
      <c r="F170" s="91"/>
    </row>
    <row r="171" spans="2:6" x14ac:dyDescent="0.25">
      <c r="B171" s="28" t="str" cm="1">
        <f t="array" aca="1" ref="B171" ca="1">IF(AND(C171&lt;&gt;"",E171&lt;&gt;"")=TRUE, CELL("row",B171)-18,"")</f>
        <v/>
      </c>
      <c r="C171" s="29"/>
      <c r="D171" s="46"/>
      <c r="E171" s="37"/>
      <c r="F171" s="91"/>
    </row>
    <row r="172" spans="2:6" x14ac:dyDescent="0.25">
      <c r="B172" s="28" t="str" cm="1">
        <f t="array" aca="1" ref="B172" ca="1">IF(AND(C172&lt;&gt;"",E172&lt;&gt;"")=TRUE, CELL("row",B172)-18,"")</f>
        <v/>
      </c>
      <c r="C172" s="29"/>
      <c r="D172" s="46"/>
      <c r="E172" s="37"/>
      <c r="F172" s="91"/>
    </row>
    <row r="173" spans="2:6" x14ac:dyDescent="0.25">
      <c r="B173" s="28" t="str" cm="1">
        <f t="array" aca="1" ref="B173" ca="1">IF(AND(C173&lt;&gt;"",E173&lt;&gt;"")=TRUE, CELL("row",B173)-18,"")</f>
        <v/>
      </c>
      <c r="C173" s="29"/>
      <c r="D173" s="46"/>
      <c r="E173" s="37"/>
      <c r="F173" s="91"/>
    </row>
    <row r="174" spans="2:6" x14ac:dyDescent="0.25">
      <c r="B174" s="28" t="str" cm="1">
        <f t="array" aca="1" ref="B174" ca="1">IF(AND(C174&lt;&gt;"",E174&lt;&gt;"")=TRUE, CELL("row",B174)-18,"")</f>
        <v/>
      </c>
      <c r="C174" s="29"/>
      <c r="D174" s="46"/>
      <c r="E174" s="37"/>
      <c r="F174" s="91"/>
    </row>
    <row r="175" spans="2:6" x14ac:dyDescent="0.25">
      <c r="B175" s="28" t="str" cm="1">
        <f t="array" aca="1" ref="B175" ca="1">IF(AND(C175&lt;&gt;"",E175&lt;&gt;"")=TRUE, CELL("row",B175)-18,"")</f>
        <v/>
      </c>
      <c r="C175" s="29"/>
      <c r="D175" s="46"/>
      <c r="E175" s="37"/>
      <c r="F175" s="91"/>
    </row>
    <row r="176" spans="2:6" x14ac:dyDescent="0.25">
      <c r="B176" s="28" t="str" cm="1">
        <f t="array" aca="1" ref="B176" ca="1">IF(AND(C176&lt;&gt;"",E176&lt;&gt;"")=TRUE, CELL("row",B176)-18,"")</f>
        <v/>
      </c>
      <c r="C176" s="29"/>
      <c r="D176" s="46"/>
      <c r="E176" s="37"/>
      <c r="F176" s="91"/>
    </row>
    <row r="177" spans="2:6" x14ac:dyDescent="0.25">
      <c r="B177" s="28" t="str" cm="1">
        <f t="array" aca="1" ref="B177" ca="1">IF(AND(C177&lt;&gt;"",E177&lt;&gt;"")=TRUE, CELL("row",B177)-18,"")</f>
        <v/>
      </c>
      <c r="C177" s="29"/>
      <c r="D177" s="46"/>
      <c r="E177" s="37"/>
      <c r="F177" s="91"/>
    </row>
    <row r="178" spans="2:6" x14ac:dyDescent="0.25">
      <c r="B178" s="28" t="str" cm="1">
        <f t="array" aca="1" ref="B178" ca="1">IF(AND(C178&lt;&gt;"",E178&lt;&gt;"")=TRUE, CELL("row",B178)-18,"")</f>
        <v/>
      </c>
      <c r="C178" s="29"/>
      <c r="D178" s="46"/>
      <c r="E178" s="37"/>
      <c r="F178" s="91"/>
    </row>
    <row r="179" spans="2:6" x14ac:dyDescent="0.25">
      <c r="B179" s="28" t="str" cm="1">
        <f t="array" aca="1" ref="B179" ca="1">IF(AND(C179&lt;&gt;"",E179&lt;&gt;"")=TRUE, CELL("row",B179)-18,"")</f>
        <v/>
      </c>
      <c r="C179" s="29"/>
      <c r="D179" s="46"/>
      <c r="E179" s="37"/>
      <c r="F179" s="91"/>
    </row>
    <row r="180" spans="2:6" x14ac:dyDescent="0.25">
      <c r="B180" s="28" t="str" cm="1">
        <f t="array" aca="1" ref="B180" ca="1">IF(AND(C180&lt;&gt;"",E180&lt;&gt;"")=TRUE, CELL("row",B180)-18,"")</f>
        <v/>
      </c>
      <c r="C180" s="29"/>
      <c r="D180" s="46"/>
      <c r="E180" s="37"/>
      <c r="F180" s="91"/>
    </row>
    <row r="181" spans="2:6" x14ac:dyDescent="0.25">
      <c r="B181" s="28" t="str" cm="1">
        <f t="array" aca="1" ref="B181" ca="1">IF(AND(C181&lt;&gt;"",E181&lt;&gt;"")=TRUE, CELL("row",B181)-18,"")</f>
        <v/>
      </c>
      <c r="C181" s="29"/>
      <c r="D181" s="46"/>
      <c r="E181" s="37"/>
      <c r="F181" s="91"/>
    </row>
    <row r="182" spans="2:6" x14ac:dyDescent="0.25">
      <c r="B182" s="28" t="str" cm="1">
        <f t="array" aca="1" ref="B182" ca="1">IF(AND(C182&lt;&gt;"",E182&lt;&gt;"")=TRUE, CELL("row",B182)-18,"")</f>
        <v/>
      </c>
      <c r="C182" s="29"/>
      <c r="D182" s="46"/>
      <c r="E182" s="37"/>
      <c r="F182" s="91"/>
    </row>
    <row r="183" spans="2:6" x14ac:dyDescent="0.25">
      <c r="B183" s="28" t="str" cm="1">
        <f t="array" aca="1" ref="B183" ca="1">IF(AND(C183&lt;&gt;"",E183&lt;&gt;"")=TRUE, CELL("row",B183)-18,"")</f>
        <v/>
      </c>
      <c r="C183" s="29"/>
      <c r="D183" s="46"/>
      <c r="E183" s="37"/>
      <c r="F183" s="91"/>
    </row>
    <row r="184" spans="2:6" x14ac:dyDescent="0.25">
      <c r="B184" s="28" t="str" cm="1">
        <f t="array" aca="1" ref="B184" ca="1">IF(AND(C184&lt;&gt;"",E184&lt;&gt;"")=TRUE, CELL("row",B184)-18,"")</f>
        <v/>
      </c>
      <c r="C184" s="29"/>
      <c r="D184" s="46"/>
      <c r="E184" s="37"/>
      <c r="F184" s="91"/>
    </row>
    <row r="185" spans="2:6" x14ac:dyDescent="0.25">
      <c r="B185" s="28" t="str" cm="1">
        <f t="array" aca="1" ref="B185" ca="1">IF(AND(C185&lt;&gt;"",E185&lt;&gt;"")=TRUE, CELL("row",B185)-18,"")</f>
        <v/>
      </c>
      <c r="C185" s="29"/>
      <c r="D185" s="46"/>
      <c r="E185" s="37"/>
      <c r="F185" s="91"/>
    </row>
    <row r="186" spans="2:6" x14ac:dyDescent="0.25">
      <c r="B186" s="28" t="str" cm="1">
        <f t="array" aca="1" ref="B186" ca="1">IF(AND(C186&lt;&gt;"",E186&lt;&gt;"")=TRUE, CELL("row",B186)-18,"")</f>
        <v/>
      </c>
      <c r="C186" s="29"/>
      <c r="D186" s="46"/>
      <c r="E186" s="37"/>
      <c r="F186" s="91"/>
    </row>
    <row r="187" spans="2:6" x14ac:dyDescent="0.25">
      <c r="B187" s="28" t="str" cm="1">
        <f t="array" aca="1" ref="B187" ca="1">IF(AND(C187&lt;&gt;"",E187&lt;&gt;"")=TRUE, CELL("row",B187)-18,"")</f>
        <v/>
      </c>
      <c r="C187" s="29"/>
      <c r="D187" s="46"/>
      <c r="E187" s="37"/>
      <c r="F187" s="91"/>
    </row>
    <row r="188" spans="2:6" x14ac:dyDescent="0.25">
      <c r="B188" s="28" t="str" cm="1">
        <f t="array" aca="1" ref="B188" ca="1">IF(AND(C188&lt;&gt;"",E188&lt;&gt;"")=TRUE, CELL("row",B188)-18,"")</f>
        <v/>
      </c>
      <c r="C188" s="29"/>
      <c r="D188" s="46"/>
      <c r="E188" s="37"/>
      <c r="F188" s="91"/>
    </row>
    <row r="189" spans="2:6" x14ac:dyDescent="0.25">
      <c r="B189" s="28" t="str" cm="1">
        <f t="array" aca="1" ref="B189" ca="1">IF(AND(C189&lt;&gt;"",E189&lt;&gt;"")=TRUE, CELL("row",B189)-18,"")</f>
        <v/>
      </c>
      <c r="C189" s="29"/>
      <c r="D189" s="46"/>
      <c r="E189" s="37"/>
      <c r="F189" s="91"/>
    </row>
    <row r="190" spans="2:6" x14ac:dyDescent="0.25">
      <c r="B190" s="28" t="str" cm="1">
        <f t="array" aca="1" ref="B190" ca="1">IF(AND(C190&lt;&gt;"",E190&lt;&gt;"")=TRUE, CELL("row",B190)-18,"")</f>
        <v/>
      </c>
      <c r="C190" s="29"/>
      <c r="D190" s="46"/>
      <c r="E190" s="37"/>
      <c r="F190" s="91"/>
    </row>
    <row r="191" spans="2:6" x14ac:dyDescent="0.25">
      <c r="B191" s="28" t="str" cm="1">
        <f t="array" aca="1" ref="B191" ca="1">IF(AND(C191&lt;&gt;"",E191&lt;&gt;"")=TRUE, CELL("row",B191)-18,"")</f>
        <v/>
      </c>
      <c r="C191" s="29"/>
      <c r="D191" s="46"/>
      <c r="E191" s="37"/>
      <c r="F191" s="91"/>
    </row>
    <row r="192" spans="2:6" x14ac:dyDescent="0.25">
      <c r="B192" s="28" t="str" cm="1">
        <f t="array" aca="1" ref="B192" ca="1">IF(AND(C192&lt;&gt;"",E192&lt;&gt;"")=TRUE, CELL("row",B192)-18,"")</f>
        <v/>
      </c>
      <c r="C192" s="29"/>
      <c r="D192" s="46"/>
      <c r="E192" s="37"/>
      <c r="F192" s="91"/>
    </row>
    <row r="193" spans="2:6" x14ac:dyDescent="0.25">
      <c r="B193" s="28" t="str" cm="1">
        <f t="array" aca="1" ref="B193" ca="1">IF(AND(C193&lt;&gt;"",E193&lt;&gt;"")=TRUE, CELL("row",B193)-18,"")</f>
        <v/>
      </c>
      <c r="C193" s="29"/>
      <c r="D193" s="46"/>
      <c r="E193" s="37"/>
      <c r="F193" s="91"/>
    </row>
    <row r="194" spans="2:6" x14ac:dyDescent="0.25">
      <c r="B194" s="28" t="str" cm="1">
        <f t="array" aca="1" ref="B194" ca="1">IF(AND(C194&lt;&gt;"",E194&lt;&gt;"")=TRUE, CELL("row",B194)-18,"")</f>
        <v/>
      </c>
      <c r="C194" s="29"/>
      <c r="D194" s="46"/>
      <c r="E194" s="37"/>
      <c r="F194" s="91"/>
    </row>
    <row r="195" spans="2:6" x14ac:dyDescent="0.25">
      <c r="B195" s="28" t="str" cm="1">
        <f t="array" aca="1" ref="B195" ca="1">IF(AND(C195&lt;&gt;"",E195&lt;&gt;"")=TRUE, CELL("row",B195)-18,"")</f>
        <v/>
      </c>
      <c r="C195" s="29"/>
      <c r="D195" s="46"/>
      <c r="E195" s="37"/>
      <c r="F195" s="91"/>
    </row>
    <row r="196" spans="2:6" x14ac:dyDescent="0.25">
      <c r="B196" s="28" t="str" cm="1">
        <f t="array" aca="1" ref="B196" ca="1">IF(AND(C196&lt;&gt;"",E196&lt;&gt;"")=TRUE, CELL("row",B196)-18,"")</f>
        <v/>
      </c>
      <c r="C196" s="29"/>
      <c r="D196" s="46"/>
      <c r="E196" s="37"/>
      <c r="F196" s="91"/>
    </row>
    <row r="197" spans="2:6" x14ac:dyDescent="0.25">
      <c r="B197" s="28" t="str" cm="1">
        <f t="array" aca="1" ref="B197" ca="1">IF(AND(C197&lt;&gt;"",E197&lt;&gt;"")=TRUE, CELL("row",B197)-18,"")</f>
        <v/>
      </c>
      <c r="C197" s="29"/>
      <c r="D197" s="46"/>
      <c r="E197" s="37"/>
      <c r="F197" s="91"/>
    </row>
    <row r="198" spans="2:6" x14ac:dyDescent="0.25">
      <c r="B198" s="28" t="str" cm="1">
        <f t="array" aca="1" ref="B198" ca="1">IF(AND(C198&lt;&gt;"",E198&lt;&gt;"")=TRUE, CELL("row",B198)-18,"")</f>
        <v/>
      </c>
      <c r="C198" s="29"/>
      <c r="D198" s="46"/>
      <c r="E198" s="37"/>
      <c r="F198" s="91"/>
    </row>
    <row r="199" spans="2:6" x14ac:dyDescent="0.25">
      <c r="B199" s="28" t="str" cm="1">
        <f t="array" aca="1" ref="B199" ca="1">IF(AND(C199&lt;&gt;"",E199&lt;&gt;"")=TRUE, CELL("row",B199)-18,"")</f>
        <v/>
      </c>
      <c r="C199" s="29"/>
      <c r="D199" s="46"/>
      <c r="E199" s="37"/>
      <c r="F199" s="91"/>
    </row>
    <row r="200" spans="2:6" x14ac:dyDescent="0.25">
      <c r="B200" s="28" t="str" cm="1">
        <f t="array" aca="1" ref="B200" ca="1">IF(AND(C200&lt;&gt;"",E200&lt;&gt;"")=TRUE, CELL("row",B200)-18,"")</f>
        <v/>
      </c>
      <c r="C200" s="29"/>
      <c r="D200" s="46"/>
      <c r="E200" s="37"/>
      <c r="F200" s="91"/>
    </row>
    <row r="201" spans="2:6" x14ac:dyDescent="0.25">
      <c r="B201" s="28" t="str" cm="1">
        <f t="array" aca="1" ref="B201" ca="1">IF(AND(C201&lt;&gt;"",E201&lt;&gt;"")=TRUE, CELL("row",B201)-18,"")</f>
        <v/>
      </c>
      <c r="C201" s="29"/>
      <c r="D201" s="46"/>
      <c r="E201" s="37"/>
      <c r="F201" s="91"/>
    </row>
    <row r="202" spans="2:6" x14ac:dyDescent="0.25">
      <c r="B202" s="28" t="str" cm="1">
        <f t="array" aca="1" ref="B202" ca="1">IF(AND(C202&lt;&gt;"",E202&lt;&gt;"")=TRUE, CELL("row",B202)-18,"")</f>
        <v/>
      </c>
      <c r="C202" s="29"/>
      <c r="D202" s="46"/>
      <c r="E202" s="37"/>
      <c r="F202" s="91"/>
    </row>
    <row r="203" spans="2:6" x14ac:dyDescent="0.25">
      <c r="B203" s="28" t="str" cm="1">
        <f t="array" aca="1" ref="B203" ca="1">IF(AND(C203&lt;&gt;"",E203&lt;&gt;"")=TRUE, CELL("row",B203)-18,"")</f>
        <v/>
      </c>
      <c r="C203" s="29"/>
      <c r="D203" s="46"/>
      <c r="E203" s="37"/>
      <c r="F203" s="91"/>
    </row>
    <row r="204" spans="2:6" x14ac:dyDescent="0.25">
      <c r="B204" s="28" t="str" cm="1">
        <f t="array" aca="1" ref="B204" ca="1">IF(AND(C204&lt;&gt;"",E204&lt;&gt;"")=TRUE, CELL("row",B204)-18,"")</f>
        <v/>
      </c>
      <c r="C204" s="29"/>
      <c r="D204" s="46"/>
      <c r="E204" s="37"/>
      <c r="F204" s="91"/>
    </row>
    <row r="205" spans="2:6" x14ac:dyDescent="0.25">
      <c r="B205" s="28" t="str" cm="1">
        <f t="array" aca="1" ref="B205" ca="1">IF(AND(C205&lt;&gt;"",E205&lt;&gt;"")=TRUE, CELL("row",B205)-18,"")</f>
        <v/>
      </c>
      <c r="C205" s="29"/>
      <c r="D205" s="46"/>
      <c r="E205" s="37"/>
      <c r="F205" s="91"/>
    </row>
    <row r="206" spans="2:6" x14ac:dyDescent="0.25">
      <c r="B206" s="28" t="str" cm="1">
        <f t="array" aca="1" ref="B206" ca="1">IF(AND(C206&lt;&gt;"",E206&lt;&gt;"")=TRUE, CELL("row",B206)-18,"")</f>
        <v/>
      </c>
      <c r="C206" s="29"/>
      <c r="D206" s="46"/>
      <c r="E206" s="37"/>
      <c r="F206" s="91"/>
    </row>
    <row r="207" spans="2:6" x14ac:dyDescent="0.25">
      <c r="B207" s="28" t="str" cm="1">
        <f t="array" aca="1" ref="B207" ca="1">IF(AND(C207&lt;&gt;"",E207&lt;&gt;"")=TRUE, CELL("row",B207)-18,"")</f>
        <v/>
      </c>
      <c r="C207" s="29"/>
      <c r="D207" s="46"/>
      <c r="E207" s="37"/>
      <c r="F207" s="91"/>
    </row>
    <row r="208" spans="2:6" x14ac:dyDescent="0.25">
      <c r="B208" s="28" t="str" cm="1">
        <f t="array" aca="1" ref="B208" ca="1">IF(AND(C208&lt;&gt;"",E208&lt;&gt;"")=TRUE, CELL("row",B208)-18,"")</f>
        <v/>
      </c>
      <c r="C208" s="29"/>
      <c r="D208" s="46"/>
      <c r="E208" s="37"/>
      <c r="F208" s="91"/>
    </row>
    <row r="209" spans="2:6" x14ac:dyDescent="0.25">
      <c r="B209" s="28" t="str" cm="1">
        <f t="array" aca="1" ref="B209" ca="1">IF(AND(C209&lt;&gt;"",E209&lt;&gt;"")=TRUE, CELL("row",B209)-18,"")</f>
        <v/>
      </c>
      <c r="C209" s="29"/>
      <c r="D209" s="46"/>
      <c r="E209" s="37"/>
      <c r="F209" s="91"/>
    </row>
    <row r="210" spans="2:6" x14ac:dyDescent="0.25">
      <c r="B210" s="28" t="str" cm="1">
        <f t="array" aca="1" ref="B210" ca="1">IF(AND(C210&lt;&gt;"",E210&lt;&gt;"")=TRUE, CELL("row",B210)-18,"")</f>
        <v/>
      </c>
      <c r="C210" s="29"/>
      <c r="D210" s="46"/>
      <c r="E210" s="37"/>
      <c r="F210" s="91"/>
    </row>
    <row r="211" spans="2:6" x14ac:dyDescent="0.25">
      <c r="B211" s="28" t="str" cm="1">
        <f t="array" aca="1" ref="B211" ca="1">IF(AND(C211&lt;&gt;"",E211&lt;&gt;"")=TRUE, CELL("row",B211)-18,"")</f>
        <v/>
      </c>
      <c r="C211" s="29"/>
      <c r="D211" s="46"/>
      <c r="E211" s="37"/>
      <c r="F211" s="91"/>
    </row>
    <row r="212" spans="2:6" x14ac:dyDescent="0.25">
      <c r="B212" s="28" t="str" cm="1">
        <f t="array" aca="1" ref="B212" ca="1">IF(AND(C212&lt;&gt;"",E212&lt;&gt;"")=TRUE, CELL("row",B212)-18,"")</f>
        <v/>
      </c>
      <c r="C212" s="29"/>
      <c r="D212" s="46"/>
      <c r="E212" s="37"/>
      <c r="F212" s="91"/>
    </row>
    <row r="213" spans="2:6" x14ac:dyDescent="0.25">
      <c r="B213" s="28" t="str" cm="1">
        <f t="array" aca="1" ref="B213" ca="1">IF(AND(C213&lt;&gt;"",E213&lt;&gt;"")=TRUE, CELL("row",B213)-18,"")</f>
        <v/>
      </c>
      <c r="C213" s="29"/>
      <c r="D213" s="46"/>
      <c r="E213" s="37"/>
      <c r="F213" s="91"/>
    </row>
    <row r="214" spans="2:6" x14ac:dyDescent="0.25">
      <c r="B214" s="28" t="str" cm="1">
        <f t="array" aca="1" ref="B214" ca="1">IF(AND(C214&lt;&gt;"",E214&lt;&gt;"")=TRUE, CELL("row",B214)-18,"")</f>
        <v/>
      </c>
      <c r="C214" s="29"/>
      <c r="D214" s="46"/>
      <c r="E214" s="37"/>
      <c r="F214" s="91"/>
    </row>
    <row r="215" spans="2:6" x14ac:dyDescent="0.25">
      <c r="B215" s="28" t="str" cm="1">
        <f t="array" aca="1" ref="B215" ca="1">IF(AND(C215&lt;&gt;"",E215&lt;&gt;"")=TRUE, CELL("row",B215)-18,"")</f>
        <v/>
      </c>
      <c r="C215" s="29"/>
      <c r="D215" s="46"/>
      <c r="E215" s="37"/>
      <c r="F215" s="91"/>
    </row>
    <row r="216" spans="2:6" x14ac:dyDescent="0.25">
      <c r="B216" s="28" t="str" cm="1">
        <f t="array" aca="1" ref="B216" ca="1">IF(AND(C216&lt;&gt;"",E216&lt;&gt;"")=TRUE, CELL("row",B216)-18,"")</f>
        <v/>
      </c>
      <c r="C216" s="29"/>
      <c r="D216" s="46"/>
      <c r="E216" s="37"/>
      <c r="F216" s="91"/>
    </row>
    <row r="217" spans="2:6" x14ac:dyDescent="0.25">
      <c r="B217" s="28" t="str" cm="1">
        <f t="array" aca="1" ref="B217" ca="1">IF(AND(C217&lt;&gt;"",E217&lt;&gt;"")=TRUE, CELL("row",B217)-18,"")</f>
        <v/>
      </c>
      <c r="C217" s="29"/>
      <c r="D217" s="46"/>
      <c r="E217" s="37"/>
      <c r="F217" s="91"/>
    </row>
    <row r="218" spans="2:6" x14ac:dyDescent="0.25">
      <c r="B218" s="28" t="str" cm="1">
        <f t="array" aca="1" ref="B218" ca="1">IF(AND(C218&lt;&gt;"",E218&lt;&gt;"")=TRUE, CELL("row",B218)-18,"")</f>
        <v/>
      </c>
      <c r="C218" s="29"/>
      <c r="D218" s="46"/>
      <c r="E218" s="37"/>
      <c r="F218" s="91"/>
    </row>
    <row r="219" spans="2:6" x14ac:dyDescent="0.25">
      <c r="B219" s="28" t="str" cm="1">
        <f t="array" aca="1" ref="B219" ca="1">IF(AND(C219&lt;&gt;"",E219&lt;&gt;"")=TRUE, CELL("row",B219)-18,"")</f>
        <v/>
      </c>
      <c r="C219" s="29"/>
      <c r="D219" s="46"/>
      <c r="E219" s="37"/>
      <c r="F219" s="91"/>
    </row>
    <row r="220" spans="2:6" x14ac:dyDescent="0.25">
      <c r="B220" s="28" t="str" cm="1">
        <f t="array" aca="1" ref="B220" ca="1">IF(AND(C220&lt;&gt;"",E220&lt;&gt;"")=TRUE, CELL("row",B220)-18,"")</f>
        <v/>
      </c>
      <c r="C220" s="29"/>
      <c r="D220" s="46"/>
      <c r="E220" s="37"/>
      <c r="F220" s="91"/>
    </row>
    <row r="221" spans="2:6" x14ac:dyDescent="0.25">
      <c r="B221" s="28" t="str" cm="1">
        <f t="array" aca="1" ref="B221" ca="1">IF(AND(C221&lt;&gt;"",E221&lt;&gt;"")=TRUE, CELL("row",B221)-18,"")</f>
        <v/>
      </c>
      <c r="C221" s="29"/>
      <c r="D221" s="46"/>
      <c r="E221" s="37"/>
      <c r="F221" s="91"/>
    </row>
    <row r="222" spans="2:6" x14ac:dyDescent="0.25">
      <c r="B222" s="28" t="str" cm="1">
        <f t="array" aca="1" ref="B222" ca="1">IF(AND(C222&lt;&gt;"",E222&lt;&gt;"")=TRUE, CELL("row",B222)-18,"")</f>
        <v/>
      </c>
      <c r="C222" s="29"/>
      <c r="D222" s="46"/>
      <c r="E222" s="37"/>
      <c r="F222" s="91"/>
    </row>
    <row r="223" spans="2:6" x14ac:dyDescent="0.25">
      <c r="B223" s="28" t="str" cm="1">
        <f t="array" aca="1" ref="B223" ca="1">IF(AND(C223&lt;&gt;"",E223&lt;&gt;"")=TRUE, CELL("row",B223)-18,"")</f>
        <v/>
      </c>
      <c r="C223" s="29"/>
      <c r="D223" s="46"/>
      <c r="E223" s="37"/>
      <c r="F223" s="91"/>
    </row>
    <row r="224" spans="2:6" x14ac:dyDescent="0.25">
      <c r="B224" s="28" t="str" cm="1">
        <f t="array" aca="1" ref="B224" ca="1">IF(AND(C224&lt;&gt;"",E224&lt;&gt;"")=TRUE, CELL("row",B224)-18,"")</f>
        <v/>
      </c>
      <c r="C224" s="29"/>
      <c r="D224" s="46"/>
      <c r="E224" s="37"/>
      <c r="F224" s="91"/>
    </row>
    <row r="225" spans="2:6" x14ac:dyDescent="0.25">
      <c r="B225" s="28" t="str" cm="1">
        <f t="array" aca="1" ref="B225" ca="1">IF(AND(C225&lt;&gt;"",E225&lt;&gt;"")=TRUE, CELL("row",B225)-18,"")</f>
        <v/>
      </c>
      <c r="C225" s="29"/>
      <c r="D225" s="46"/>
      <c r="E225" s="37"/>
      <c r="F225" s="91"/>
    </row>
    <row r="226" spans="2:6" x14ac:dyDescent="0.25">
      <c r="B226" s="28" t="str" cm="1">
        <f t="array" aca="1" ref="B226" ca="1">IF(AND(C226&lt;&gt;"",E226&lt;&gt;"")=TRUE, CELL("row",B226)-18,"")</f>
        <v/>
      </c>
      <c r="C226" s="29"/>
      <c r="D226" s="46"/>
      <c r="E226" s="37"/>
      <c r="F226" s="91"/>
    </row>
    <row r="227" spans="2:6" x14ac:dyDescent="0.25">
      <c r="B227" s="28" t="str" cm="1">
        <f t="array" aca="1" ref="B227" ca="1">IF(AND(C227&lt;&gt;"",E227&lt;&gt;"")=TRUE, CELL("row",B227)-18,"")</f>
        <v/>
      </c>
      <c r="C227" s="29"/>
      <c r="D227" s="46"/>
      <c r="E227" s="37"/>
      <c r="F227" s="91"/>
    </row>
    <row r="228" spans="2:6" x14ac:dyDescent="0.25">
      <c r="B228" s="28" t="str" cm="1">
        <f t="array" aca="1" ref="B228" ca="1">IF(AND(C228&lt;&gt;"",E228&lt;&gt;"")=TRUE, CELL("row",B228)-18,"")</f>
        <v/>
      </c>
      <c r="C228" s="29"/>
      <c r="D228" s="46"/>
      <c r="E228" s="37"/>
      <c r="F228" s="91"/>
    </row>
    <row r="229" spans="2:6" x14ac:dyDescent="0.25">
      <c r="B229" s="28" t="str" cm="1">
        <f t="array" aca="1" ref="B229" ca="1">IF(AND(C229&lt;&gt;"",E229&lt;&gt;"")=TRUE, CELL("row",B229)-18,"")</f>
        <v/>
      </c>
      <c r="C229" s="29"/>
      <c r="D229" s="46"/>
      <c r="E229" s="37"/>
      <c r="F229" s="91"/>
    </row>
    <row r="230" spans="2:6" x14ac:dyDescent="0.25">
      <c r="B230" s="28" t="str" cm="1">
        <f t="array" aca="1" ref="B230" ca="1">IF(AND(C230&lt;&gt;"",E230&lt;&gt;"")=TRUE, CELL("row",B230)-18,"")</f>
        <v/>
      </c>
      <c r="C230" s="29"/>
      <c r="D230" s="46"/>
      <c r="E230" s="37"/>
      <c r="F230" s="91"/>
    </row>
    <row r="231" spans="2:6" x14ac:dyDescent="0.25">
      <c r="B231" s="28" t="str" cm="1">
        <f t="array" aca="1" ref="B231" ca="1">IF(AND(C231&lt;&gt;"",E231&lt;&gt;"")=TRUE, CELL("row",B231)-18,"")</f>
        <v/>
      </c>
      <c r="C231" s="29"/>
      <c r="D231" s="46"/>
      <c r="E231" s="37"/>
      <c r="F231" s="91"/>
    </row>
    <row r="232" spans="2:6" x14ac:dyDescent="0.25">
      <c r="B232" s="28" t="str" cm="1">
        <f t="array" aca="1" ref="B232" ca="1">IF(AND(C232&lt;&gt;"",E232&lt;&gt;"")=TRUE, CELL("row",B232)-18,"")</f>
        <v/>
      </c>
      <c r="C232" s="29"/>
      <c r="D232" s="46"/>
      <c r="E232" s="37"/>
      <c r="F232" s="91"/>
    </row>
    <row r="233" spans="2:6" x14ac:dyDescent="0.25">
      <c r="B233" s="28" t="str" cm="1">
        <f t="array" aca="1" ref="B233" ca="1">IF(AND(C233&lt;&gt;"",E233&lt;&gt;"")=TRUE, CELL("row",B233)-18,"")</f>
        <v/>
      </c>
      <c r="C233" s="29"/>
      <c r="D233" s="46"/>
      <c r="E233" s="37"/>
      <c r="F233" s="91"/>
    </row>
    <row r="234" spans="2:6" x14ac:dyDescent="0.25">
      <c r="B234" s="28" t="str" cm="1">
        <f t="array" aca="1" ref="B234" ca="1">IF(AND(C234&lt;&gt;"",E234&lt;&gt;"")=TRUE, CELL("row",B234)-18,"")</f>
        <v/>
      </c>
      <c r="C234" s="29"/>
      <c r="D234" s="46"/>
      <c r="E234" s="37"/>
      <c r="F234" s="91"/>
    </row>
    <row r="235" spans="2:6" x14ac:dyDescent="0.25">
      <c r="B235" s="28" t="str" cm="1">
        <f t="array" aca="1" ref="B235" ca="1">IF(AND(C235&lt;&gt;"",E235&lt;&gt;"")=TRUE, CELL("row",B235)-18,"")</f>
        <v/>
      </c>
      <c r="C235" s="29"/>
      <c r="D235" s="46"/>
      <c r="E235" s="37"/>
      <c r="F235" s="91"/>
    </row>
    <row r="236" spans="2:6" x14ac:dyDescent="0.25">
      <c r="B236" s="28" t="str" cm="1">
        <f t="array" aca="1" ref="B236" ca="1">IF(AND(C236&lt;&gt;"",E236&lt;&gt;"")=TRUE, CELL("row",B236)-18,"")</f>
        <v/>
      </c>
      <c r="C236" s="29"/>
      <c r="D236" s="46"/>
      <c r="E236" s="37"/>
      <c r="F236" s="91"/>
    </row>
    <row r="237" spans="2:6" x14ac:dyDescent="0.25">
      <c r="B237" s="28" t="str" cm="1">
        <f t="array" aca="1" ref="B237" ca="1">IF(AND(C237&lt;&gt;"",E237&lt;&gt;"")=TRUE, CELL("row",B237)-18,"")</f>
        <v/>
      </c>
      <c r="C237" s="29"/>
      <c r="D237" s="46"/>
      <c r="E237" s="37"/>
      <c r="F237" s="91"/>
    </row>
    <row r="238" spans="2:6" x14ac:dyDescent="0.25">
      <c r="B238" s="28" t="str" cm="1">
        <f t="array" aca="1" ref="B238" ca="1">IF(AND(C238&lt;&gt;"",E238&lt;&gt;"")=TRUE, CELL("row",B238)-18,"")</f>
        <v/>
      </c>
      <c r="C238" s="29"/>
      <c r="D238" s="46"/>
      <c r="E238" s="37"/>
      <c r="F238" s="91"/>
    </row>
    <row r="239" spans="2:6" x14ac:dyDescent="0.25">
      <c r="B239" s="28" t="str" cm="1">
        <f t="array" aca="1" ref="B239" ca="1">IF(AND(C239&lt;&gt;"",E239&lt;&gt;"")=TRUE, CELL("row",B239)-18,"")</f>
        <v/>
      </c>
      <c r="C239" s="29"/>
      <c r="D239" s="46"/>
      <c r="E239" s="37"/>
      <c r="F239" s="91"/>
    </row>
    <row r="240" spans="2:6" x14ac:dyDescent="0.25">
      <c r="B240" s="28" t="str" cm="1">
        <f t="array" aca="1" ref="B240" ca="1">IF(AND(C240&lt;&gt;"",E240&lt;&gt;"")=TRUE, CELL("row",B240)-18,"")</f>
        <v/>
      </c>
      <c r="C240" s="29"/>
      <c r="D240" s="46"/>
      <c r="E240" s="37"/>
      <c r="F240" s="91"/>
    </row>
    <row r="241" spans="2:6" x14ac:dyDescent="0.25">
      <c r="B241" s="28" t="str" cm="1">
        <f t="array" aca="1" ref="B241" ca="1">IF(AND(C241&lt;&gt;"",E241&lt;&gt;"")=TRUE, CELL("row",B241)-18,"")</f>
        <v/>
      </c>
      <c r="C241" s="29"/>
      <c r="D241" s="46"/>
      <c r="E241" s="37"/>
      <c r="F241" s="91"/>
    </row>
    <row r="242" spans="2:6" x14ac:dyDescent="0.25">
      <c r="B242" s="28" t="str" cm="1">
        <f t="array" aca="1" ref="B242" ca="1">IF(AND(C242&lt;&gt;"",E242&lt;&gt;"")=TRUE, CELL("row",B242)-18,"")</f>
        <v/>
      </c>
      <c r="C242" s="29"/>
      <c r="D242" s="46"/>
      <c r="E242" s="37"/>
      <c r="F242" s="91"/>
    </row>
    <row r="243" spans="2:6" x14ac:dyDescent="0.25">
      <c r="B243" s="28" t="str" cm="1">
        <f t="array" aca="1" ref="B243" ca="1">IF(AND(C243&lt;&gt;"",E243&lt;&gt;"")=TRUE, CELL("row",B243)-18,"")</f>
        <v/>
      </c>
      <c r="C243" s="29"/>
      <c r="D243" s="46"/>
      <c r="E243" s="37"/>
      <c r="F243" s="91"/>
    </row>
    <row r="244" spans="2:6" x14ac:dyDescent="0.25">
      <c r="B244" s="28" t="str" cm="1">
        <f t="array" aca="1" ref="B244" ca="1">IF(AND(C244&lt;&gt;"",E244&lt;&gt;"")=TRUE, CELL("row",B244)-18,"")</f>
        <v/>
      </c>
      <c r="C244" s="29"/>
      <c r="D244" s="46"/>
      <c r="E244" s="37"/>
      <c r="F244" s="91"/>
    </row>
    <row r="245" spans="2:6" x14ac:dyDescent="0.25">
      <c r="B245" s="28" t="str" cm="1">
        <f t="array" aca="1" ref="B245" ca="1">IF(AND(C245&lt;&gt;"",E245&lt;&gt;"")=TRUE, CELL("row",B245)-18,"")</f>
        <v/>
      </c>
      <c r="C245" s="29"/>
      <c r="D245" s="46"/>
      <c r="E245" s="37"/>
      <c r="F245" s="91"/>
    </row>
    <row r="246" spans="2:6" x14ac:dyDescent="0.25">
      <c r="B246" s="28" t="str" cm="1">
        <f t="array" aca="1" ref="B246" ca="1">IF(AND(C246&lt;&gt;"",E246&lt;&gt;"")=TRUE, CELL("row",B246)-18,"")</f>
        <v/>
      </c>
      <c r="C246" s="29"/>
      <c r="D246" s="46"/>
      <c r="E246" s="37"/>
      <c r="F246" s="91"/>
    </row>
    <row r="247" spans="2:6" x14ac:dyDescent="0.25">
      <c r="B247" s="28" t="str" cm="1">
        <f t="array" aca="1" ref="B247" ca="1">IF(AND(C247&lt;&gt;"",E247&lt;&gt;"")=TRUE, CELL("row",B247)-18,"")</f>
        <v/>
      </c>
      <c r="C247" s="29"/>
      <c r="D247" s="46"/>
      <c r="E247" s="37"/>
      <c r="F247" s="91"/>
    </row>
    <row r="248" spans="2:6" x14ac:dyDescent="0.25">
      <c r="B248" s="28" t="str" cm="1">
        <f t="array" aca="1" ref="B248" ca="1">IF(AND(C248&lt;&gt;"",E248&lt;&gt;"")=TRUE, CELL("row",B248)-18,"")</f>
        <v/>
      </c>
      <c r="C248" s="29"/>
      <c r="D248" s="46"/>
      <c r="E248" s="37"/>
      <c r="F248" s="91"/>
    </row>
    <row r="249" spans="2:6" x14ac:dyDescent="0.25">
      <c r="B249" s="28" t="str" cm="1">
        <f t="array" aca="1" ref="B249" ca="1">IF(AND(C249&lt;&gt;"",E249&lt;&gt;"")=TRUE, CELL("row",B249)-18,"")</f>
        <v/>
      </c>
      <c r="C249" s="29"/>
      <c r="D249" s="46"/>
      <c r="E249" s="37"/>
      <c r="F249" s="91"/>
    </row>
    <row r="250" spans="2:6" x14ac:dyDescent="0.25">
      <c r="B250" s="28" t="str" cm="1">
        <f t="array" aca="1" ref="B250" ca="1">IF(AND(C250&lt;&gt;"",E250&lt;&gt;"")=TRUE, CELL("row",B250)-18,"")</f>
        <v/>
      </c>
      <c r="C250" s="29"/>
      <c r="D250" s="46"/>
      <c r="E250" s="37"/>
      <c r="F250" s="91"/>
    </row>
    <row r="251" spans="2:6" x14ac:dyDescent="0.25">
      <c r="B251" s="28" t="str" cm="1">
        <f t="array" aca="1" ref="B251" ca="1">IF(AND(C251&lt;&gt;"",E251&lt;&gt;"")=TRUE, CELL("row",B251)-18,"")</f>
        <v/>
      </c>
      <c r="C251" s="29"/>
      <c r="D251" s="46"/>
      <c r="E251" s="37"/>
      <c r="F251" s="91"/>
    </row>
    <row r="252" spans="2:6" x14ac:dyDescent="0.25">
      <c r="B252" s="28" t="str" cm="1">
        <f t="array" aca="1" ref="B252" ca="1">IF(AND(C252&lt;&gt;"",E252&lt;&gt;"")=TRUE, CELL("row",B252)-18,"")</f>
        <v/>
      </c>
      <c r="C252" s="29"/>
      <c r="D252" s="46"/>
      <c r="E252" s="37"/>
      <c r="F252" s="91"/>
    </row>
    <row r="253" spans="2:6" x14ac:dyDescent="0.25">
      <c r="B253" s="28" t="str" cm="1">
        <f t="array" aca="1" ref="B253" ca="1">IF(AND(C253&lt;&gt;"",E253&lt;&gt;"")=TRUE, CELL("row",B253)-18,"")</f>
        <v/>
      </c>
      <c r="C253" s="29"/>
      <c r="D253" s="46"/>
      <c r="E253" s="37"/>
      <c r="F253" s="91"/>
    </row>
    <row r="254" spans="2:6" x14ac:dyDescent="0.25">
      <c r="B254" s="28" t="str" cm="1">
        <f t="array" aca="1" ref="B254" ca="1">IF(AND(C254&lt;&gt;"",E254&lt;&gt;"")=TRUE, CELL("row",B254)-18,"")</f>
        <v/>
      </c>
      <c r="C254" s="29"/>
      <c r="D254" s="46"/>
      <c r="E254" s="37"/>
      <c r="F254" s="91"/>
    </row>
    <row r="255" spans="2:6" x14ac:dyDescent="0.25">
      <c r="B255" s="28" t="str" cm="1">
        <f t="array" aca="1" ref="B255" ca="1">IF(AND(C255&lt;&gt;"",E255&lt;&gt;"")=TRUE, CELL("row",B255)-18,"")</f>
        <v/>
      </c>
      <c r="C255" s="29"/>
      <c r="D255" s="46"/>
      <c r="E255" s="37"/>
      <c r="F255" s="91"/>
    </row>
    <row r="256" spans="2:6" x14ac:dyDescent="0.25">
      <c r="B256" s="28" t="str" cm="1">
        <f t="array" aca="1" ref="B256" ca="1">IF(AND(C256&lt;&gt;"",E256&lt;&gt;"")=TRUE, CELL("row",B256)-18,"")</f>
        <v/>
      </c>
      <c r="C256" s="29"/>
      <c r="D256" s="46"/>
      <c r="E256" s="37"/>
      <c r="F256" s="91"/>
    </row>
    <row r="257" spans="2:6" x14ac:dyDescent="0.25">
      <c r="B257" s="28" t="str" cm="1">
        <f t="array" aca="1" ref="B257" ca="1">IF(AND(C257&lt;&gt;"",E257&lt;&gt;"")=TRUE, CELL("row",B257)-18,"")</f>
        <v/>
      </c>
      <c r="C257" s="29"/>
      <c r="D257" s="46"/>
      <c r="E257" s="37"/>
      <c r="F257" s="91"/>
    </row>
    <row r="258" spans="2:6" x14ac:dyDescent="0.25">
      <c r="B258" s="28" t="str" cm="1">
        <f t="array" aca="1" ref="B258" ca="1">IF(AND(C258&lt;&gt;"",E258&lt;&gt;"")=TRUE, CELL("row",B258)-18,"")</f>
        <v/>
      </c>
      <c r="C258" s="29"/>
      <c r="D258" s="46"/>
      <c r="E258" s="37"/>
      <c r="F258" s="91"/>
    </row>
    <row r="259" spans="2:6" x14ac:dyDescent="0.25">
      <c r="B259" s="28" t="str" cm="1">
        <f t="array" aca="1" ref="B259" ca="1">IF(AND(C259&lt;&gt;"",E259&lt;&gt;"")=TRUE, CELL("row",B259)-18,"")</f>
        <v/>
      </c>
      <c r="C259" s="29"/>
      <c r="D259" s="46"/>
      <c r="E259" s="37"/>
      <c r="F259" s="91"/>
    </row>
    <row r="260" spans="2:6" x14ac:dyDescent="0.25">
      <c r="B260" s="28" t="str" cm="1">
        <f t="array" aca="1" ref="B260" ca="1">IF(AND(C260&lt;&gt;"",E260&lt;&gt;"")=TRUE, CELL("row",B260)-18,"")</f>
        <v/>
      </c>
      <c r="C260" s="29"/>
      <c r="D260" s="46"/>
      <c r="E260" s="37"/>
      <c r="F260" s="91"/>
    </row>
    <row r="261" spans="2:6" x14ac:dyDescent="0.25">
      <c r="B261" s="28" t="str" cm="1">
        <f t="array" aca="1" ref="B261" ca="1">IF(AND(C261&lt;&gt;"",E261&lt;&gt;"")=TRUE, CELL("row",B261)-18,"")</f>
        <v/>
      </c>
      <c r="C261" s="29"/>
      <c r="D261" s="46"/>
      <c r="E261" s="37"/>
      <c r="F261" s="91"/>
    </row>
    <row r="262" spans="2:6" x14ac:dyDescent="0.25">
      <c r="B262" s="28" t="str" cm="1">
        <f t="array" aca="1" ref="B262" ca="1">IF(AND(C262&lt;&gt;"",E262&lt;&gt;"")=TRUE, CELL("row",B262)-18,"")</f>
        <v/>
      </c>
      <c r="C262" s="29"/>
      <c r="D262" s="46"/>
      <c r="E262" s="37"/>
      <c r="F262" s="91"/>
    </row>
    <row r="263" spans="2:6" x14ac:dyDescent="0.25">
      <c r="B263" s="28" t="str" cm="1">
        <f t="array" aca="1" ref="B263" ca="1">IF(AND(C263&lt;&gt;"",E263&lt;&gt;"")=TRUE, CELL("row",B263)-18,"")</f>
        <v/>
      </c>
      <c r="C263" s="29"/>
      <c r="D263" s="46"/>
      <c r="E263" s="37"/>
      <c r="F263" s="91"/>
    </row>
    <row r="264" spans="2:6" x14ac:dyDescent="0.25">
      <c r="B264" s="28" t="str" cm="1">
        <f t="array" aca="1" ref="B264" ca="1">IF(AND(C264&lt;&gt;"",E264&lt;&gt;"")=TRUE, CELL("row",B264)-18,"")</f>
        <v/>
      </c>
      <c r="C264" s="29"/>
      <c r="D264" s="46"/>
      <c r="E264" s="37"/>
      <c r="F264" s="91"/>
    </row>
    <row r="265" spans="2:6" x14ac:dyDescent="0.25">
      <c r="B265" s="28" t="str" cm="1">
        <f t="array" aca="1" ref="B265" ca="1">IF(AND(C265&lt;&gt;"",E265&lt;&gt;"")=TRUE, CELL("row",B265)-18,"")</f>
        <v/>
      </c>
      <c r="C265" s="29"/>
      <c r="D265" s="46"/>
      <c r="E265" s="37"/>
      <c r="F265" s="91"/>
    </row>
    <row r="266" spans="2:6" x14ac:dyDescent="0.25">
      <c r="B266" s="28" t="str" cm="1">
        <f t="array" aca="1" ref="B266" ca="1">IF(AND(C266&lt;&gt;"",E266&lt;&gt;"")=TRUE, CELL("row",B266)-18,"")</f>
        <v/>
      </c>
      <c r="C266" s="29"/>
      <c r="D266" s="46"/>
      <c r="E266" s="37"/>
      <c r="F266" s="91"/>
    </row>
    <row r="267" spans="2:6" x14ac:dyDescent="0.25">
      <c r="B267" s="28" t="str" cm="1">
        <f t="array" aca="1" ref="B267" ca="1">IF(AND(C267&lt;&gt;"",E267&lt;&gt;"")=TRUE, CELL("row",B267)-18,"")</f>
        <v/>
      </c>
      <c r="C267" s="29"/>
      <c r="D267" s="46"/>
      <c r="E267" s="37"/>
      <c r="F267" s="91"/>
    </row>
    <row r="268" spans="2:6" x14ac:dyDescent="0.25">
      <c r="B268" s="28" t="str" cm="1">
        <f t="array" aca="1" ref="B268" ca="1">IF(AND(C268&lt;&gt;"",E268&lt;&gt;"")=TRUE, CELL("row",B268)-18,"")</f>
        <v/>
      </c>
      <c r="C268" s="29"/>
      <c r="D268" s="46"/>
      <c r="E268" s="37"/>
      <c r="F268" s="91"/>
    </row>
    <row r="269" spans="2:6" x14ac:dyDescent="0.25">
      <c r="B269" s="28" t="str" cm="1">
        <f t="array" aca="1" ref="B269" ca="1">IF(AND(C269&lt;&gt;"",E269&lt;&gt;"")=TRUE, CELL("row",B269)-18,"")</f>
        <v/>
      </c>
      <c r="C269" s="29"/>
      <c r="D269" s="46"/>
      <c r="E269" s="37"/>
      <c r="F269" s="91"/>
    </row>
    <row r="270" spans="2:6" x14ac:dyDescent="0.25">
      <c r="B270" s="28" t="str" cm="1">
        <f t="array" aca="1" ref="B270" ca="1">IF(AND(C270&lt;&gt;"",E270&lt;&gt;"")=TRUE, CELL("row",B270)-18,"")</f>
        <v/>
      </c>
      <c r="C270" s="29"/>
      <c r="D270" s="46"/>
      <c r="E270" s="37"/>
      <c r="F270" s="91"/>
    </row>
    <row r="271" spans="2:6" x14ac:dyDescent="0.25">
      <c r="B271" s="28" t="str" cm="1">
        <f t="array" aca="1" ref="B271" ca="1">IF(AND(C271&lt;&gt;"",E271&lt;&gt;"")=TRUE, CELL("row",B271)-18,"")</f>
        <v/>
      </c>
      <c r="C271" s="29"/>
      <c r="D271" s="46"/>
      <c r="E271" s="37"/>
      <c r="F271" s="91"/>
    </row>
    <row r="272" spans="2:6" x14ac:dyDescent="0.25">
      <c r="B272" s="28" t="str" cm="1">
        <f t="array" aca="1" ref="B272" ca="1">IF(AND(C272&lt;&gt;"",E272&lt;&gt;"")=TRUE, CELL("row",B272)-18,"")</f>
        <v/>
      </c>
      <c r="C272" s="29"/>
      <c r="D272" s="46"/>
      <c r="E272" s="37"/>
      <c r="F272" s="91"/>
    </row>
    <row r="273" spans="2:6" x14ac:dyDescent="0.25">
      <c r="B273" s="28" t="str" cm="1">
        <f t="array" aca="1" ref="B273" ca="1">IF(AND(C273&lt;&gt;"",E273&lt;&gt;"")=TRUE, CELL("row",B273)-18,"")</f>
        <v/>
      </c>
      <c r="C273" s="29"/>
      <c r="D273" s="46"/>
      <c r="E273" s="37"/>
      <c r="F273" s="91"/>
    </row>
    <row r="274" spans="2:6" x14ac:dyDescent="0.25">
      <c r="B274" s="28" t="str" cm="1">
        <f t="array" aca="1" ref="B274" ca="1">IF(AND(C274&lt;&gt;"",E274&lt;&gt;"")=TRUE, CELL("row",B274)-18,"")</f>
        <v/>
      </c>
      <c r="C274" s="29"/>
      <c r="D274" s="46"/>
      <c r="E274" s="37"/>
      <c r="F274" s="91"/>
    </row>
    <row r="275" spans="2:6" x14ac:dyDescent="0.25">
      <c r="B275" s="28" t="str" cm="1">
        <f t="array" aca="1" ref="B275" ca="1">IF(AND(C275&lt;&gt;"",E275&lt;&gt;"")=TRUE, CELL("row",B275)-18,"")</f>
        <v/>
      </c>
      <c r="C275" s="29"/>
      <c r="D275" s="46"/>
      <c r="E275" s="37"/>
      <c r="F275" s="91"/>
    </row>
    <row r="276" spans="2:6" x14ac:dyDescent="0.25">
      <c r="B276" s="28" t="str" cm="1">
        <f t="array" aca="1" ref="B276" ca="1">IF(AND(C276&lt;&gt;"",E276&lt;&gt;"")=TRUE, CELL("row",B276)-18,"")</f>
        <v/>
      </c>
      <c r="C276" s="29"/>
      <c r="D276" s="46"/>
      <c r="E276" s="37"/>
      <c r="F276" s="91"/>
    </row>
    <row r="277" spans="2:6" x14ac:dyDescent="0.25">
      <c r="B277" s="28" t="str" cm="1">
        <f t="array" aca="1" ref="B277" ca="1">IF(AND(C277&lt;&gt;"",E277&lt;&gt;"")=TRUE, CELL("row",B277)-18,"")</f>
        <v/>
      </c>
      <c r="C277" s="29"/>
      <c r="D277" s="46"/>
      <c r="E277" s="37"/>
      <c r="F277" s="91"/>
    </row>
    <row r="278" spans="2:6" x14ac:dyDescent="0.25">
      <c r="B278" s="28" t="str" cm="1">
        <f t="array" aca="1" ref="B278" ca="1">IF(AND(C278&lt;&gt;"",E278&lt;&gt;"")=TRUE, CELL("row",B278)-18,"")</f>
        <v/>
      </c>
      <c r="C278" s="29"/>
      <c r="D278" s="46"/>
      <c r="E278" s="37"/>
      <c r="F278" s="91"/>
    </row>
    <row r="279" spans="2:6" x14ac:dyDescent="0.25">
      <c r="B279" s="28" t="str" cm="1">
        <f t="array" aca="1" ref="B279" ca="1">IF(AND(C279&lt;&gt;"",E279&lt;&gt;"")=TRUE, CELL("row",B279)-18,"")</f>
        <v/>
      </c>
      <c r="C279" s="29"/>
      <c r="D279" s="46"/>
      <c r="E279" s="37"/>
      <c r="F279" s="91"/>
    </row>
    <row r="280" spans="2:6" x14ac:dyDescent="0.25">
      <c r="B280" s="28" t="str" cm="1">
        <f t="array" aca="1" ref="B280" ca="1">IF(AND(C280&lt;&gt;"",E280&lt;&gt;"")=TRUE, CELL("row",B280)-18,"")</f>
        <v/>
      </c>
      <c r="C280" s="29"/>
      <c r="D280" s="46"/>
      <c r="E280" s="37"/>
      <c r="F280" s="91"/>
    </row>
    <row r="281" spans="2:6" x14ac:dyDescent="0.25">
      <c r="B281" s="28" t="str" cm="1">
        <f t="array" aca="1" ref="B281" ca="1">IF(AND(C281&lt;&gt;"",E281&lt;&gt;"")=TRUE, CELL("row",B281)-18,"")</f>
        <v/>
      </c>
      <c r="C281" s="29"/>
      <c r="D281" s="46"/>
      <c r="E281" s="37"/>
      <c r="F281" s="91"/>
    </row>
    <row r="282" spans="2:6" x14ac:dyDescent="0.25">
      <c r="B282" s="28" t="str" cm="1">
        <f t="array" aca="1" ref="B282" ca="1">IF(AND(C282&lt;&gt;"",E282&lt;&gt;"")=TRUE, CELL("row",B282)-18,"")</f>
        <v/>
      </c>
      <c r="C282" s="29"/>
      <c r="D282" s="46"/>
      <c r="E282" s="37"/>
      <c r="F282" s="91"/>
    </row>
    <row r="283" spans="2:6" x14ac:dyDescent="0.25">
      <c r="B283" s="28" t="str" cm="1">
        <f t="array" aca="1" ref="B283" ca="1">IF(AND(C283&lt;&gt;"",E283&lt;&gt;"")=TRUE, CELL("row",B283)-18,"")</f>
        <v/>
      </c>
      <c r="C283" s="29"/>
      <c r="D283" s="46"/>
      <c r="E283" s="37"/>
      <c r="F283" s="91"/>
    </row>
    <row r="284" spans="2:6" x14ac:dyDescent="0.25">
      <c r="B284" s="28" t="str" cm="1">
        <f t="array" aca="1" ref="B284" ca="1">IF(AND(C284&lt;&gt;"",E284&lt;&gt;"")=TRUE, CELL("row",B284)-18,"")</f>
        <v/>
      </c>
      <c r="C284" s="29"/>
      <c r="D284" s="46"/>
      <c r="E284" s="37"/>
      <c r="F284" s="91"/>
    </row>
    <row r="285" spans="2:6" x14ac:dyDescent="0.25">
      <c r="B285" s="28" t="str" cm="1">
        <f t="array" aca="1" ref="B285" ca="1">IF(AND(C285&lt;&gt;"",E285&lt;&gt;"")=TRUE, CELL("row",B285)-18,"")</f>
        <v/>
      </c>
      <c r="C285" s="29"/>
      <c r="D285" s="46"/>
      <c r="E285" s="37"/>
      <c r="F285" s="91"/>
    </row>
    <row r="286" spans="2:6" x14ac:dyDescent="0.25">
      <c r="B286" s="28" t="str" cm="1">
        <f t="array" aca="1" ref="B286" ca="1">IF(AND(C286&lt;&gt;"",E286&lt;&gt;"")=TRUE, CELL("row",B286)-18,"")</f>
        <v/>
      </c>
      <c r="C286" s="29"/>
      <c r="D286" s="46"/>
      <c r="E286" s="37"/>
      <c r="F286" s="91"/>
    </row>
    <row r="287" spans="2:6" x14ac:dyDescent="0.25">
      <c r="B287" s="28" t="str" cm="1">
        <f t="array" aca="1" ref="B287" ca="1">IF(AND(C287&lt;&gt;"",E287&lt;&gt;"")=TRUE, CELL("row",B287)-18,"")</f>
        <v/>
      </c>
      <c r="C287" s="29"/>
      <c r="D287" s="46"/>
      <c r="E287" s="37"/>
      <c r="F287" s="91"/>
    </row>
    <row r="288" spans="2:6" x14ac:dyDescent="0.25">
      <c r="B288" s="28" t="str" cm="1">
        <f t="array" aca="1" ref="B288" ca="1">IF(AND(C288&lt;&gt;"",E288&lt;&gt;"")=TRUE, CELL("row",B288)-18,"")</f>
        <v/>
      </c>
      <c r="C288" s="29"/>
      <c r="D288" s="46"/>
      <c r="E288" s="37"/>
      <c r="F288" s="91"/>
    </row>
    <row r="289" spans="2:6" x14ac:dyDescent="0.25">
      <c r="B289" s="28" t="str" cm="1">
        <f t="array" aca="1" ref="B289" ca="1">IF(AND(C289&lt;&gt;"",E289&lt;&gt;"")=TRUE, CELL("row",B289)-18,"")</f>
        <v/>
      </c>
      <c r="C289" s="29"/>
      <c r="D289" s="46"/>
      <c r="E289" s="37"/>
      <c r="F289" s="91"/>
    </row>
    <row r="290" spans="2:6" x14ac:dyDescent="0.25">
      <c r="B290" s="28" t="str" cm="1">
        <f t="array" aca="1" ref="B290" ca="1">IF(AND(C290&lt;&gt;"",E290&lt;&gt;"")=TRUE, CELL("row",B290)-18,"")</f>
        <v/>
      </c>
      <c r="C290" s="29"/>
      <c r="D290" s="46"/>
      <c r="E290" s="37"/>
      <c r="F290" s="91"/>
    </row>
    <row r="291" spans="2:6" x14ac:dyDescent="0.25">
      <c r="B291" s="28" t="str" cm="1">
        <f t="array" aca="1" ref="B291" ca="1">IF(AND(C291&lt;&gt;"",E291&lt;&gt;"")=TRUE, CELL("row",B291)-18,"")</f>
        <v/>
      </c>
      <c r="C291" s="29"/>
      <c r="D291" s="46"/>
      <c r="E291" s="37"/>
      <c r="F291" s="91"/>
    </row>
    <row r="292" spans="2:6" x14ac:dyDescent="0.25">
      <c r="B292" s="28" t="str" cm="1">
        <f t="array" aca="1" ref="B292" ca="1">IF(AND(C292&lt;&gt;"",E292&lt;&gt;"")=TRUE, CELL("row",B292)-18,"")</f>
        <v/>
      </c>
      <c r="C292" s="29"/>
      <c r="D292" s="46"/>
      <c r="E292" s="37"/>
      <c r="F292" s="91"/>
    </row>
    <row r="293" spans="2:6" x14ac:dyDescent="0.25">
      <c r="B293" s="28" t="str" cm="1">
        <f t="array" aca="1" ref="B293" ca="1">IF(AND(C293&lt;&gt;"",E293&lt;&gt;"")=TRUE, CELL("row",B293)-18,"")</f>
        <v/>
      </c>
      <c r="C293" s="29"/>
      <c r="D293" s="46"/>
      <c r="E293" s="37"/>
      <c r="F293" s="91"/>
    </row>
    <row r="294" spans="2:6" x14ac:dyDescent="0.25">
      <c r="B294" s="28" t="str" cm="1">
        <f t="array" aca="1" ref="B294" ca="1">IF(AND(C294&lt;&gt;"",E294&lt;&gt;"")=TRUE, CELL("row",B294)-18,"")</f>
        <v/>
      </c>
      <c r="C294" s="29"/>
      <c r="D294" s="46"/>
      <c r="E294" s="37"/>
      <c r="F294" s="91"/>
    </row>
    <row r="295" spans="2:6" x14ac:dyDescent="0.25">
      <c r="B295" s="28" t="str" cm="1">
        <f t="array" aca="1" ref="B295" ca="1">IF(AND(C295&lt;&gt;"",E295&lt;&gt;"")=TRUE, CELL("row",B295)-18,"")</f>
        <v/>
      </c>
      <c r="C295" s="29"/>
      <c r="D295" s="46"/>
      <c r="E295" s="37"/>
      <c r="F295" s="91"/>
    </row>
    <row r="296" spans="2:6" x14ac:dyDescent="0.25">
      <c r="B296" s="28" t="str" cm="1">
        <f t="array" aca="1" ref="B296" ca="1">IF(AND(C296&lt;&gt;"",E296&lt;&gt;"")=TRUE, CELL("row",B296)-18,"")</f>
        <v/>
      </c>
      <c r="C296" s="29"/>
      <c r="D296" s="46"/>
      <c r="E296" s="37"/>
      <c r="F296" s="91"/>
    </row>
    <row r="297" spans="2:6" x14ac:dyDescent="0.25">
      <c r="B297" s="28" t="str" cm="1">
        <f t="array" aca="1" ref="B297" ca="1">IF(AND(C297&lt;&gt;"",E297&lt;&gt;"")=TRUE, CELL("row",B297)-18,"")</f>
        <v/>
      </c>
      <c r="C297" s="29"/>
      <c r="D297" s="46"/>
      <c r="E297" s="37"/>
      <c r="F297" s="91"/>
    </row>
    <row r="298" spans="2:6" x14ac:dyDescent="0.25">
      <c r="B298" s="28" t="str" cm="1">
        <f t="array" aca="1" ref="B298" ca="1">IF(AND(C298&lt;&gt;"",E298&lt;&gt;"")=TRUE, CELL("row",B298)-18,"")</f>
        <v/>
      </c>
      <c r="C298" s="29"/>
      <c r="D298" s="46"/>
      <c r="E298" s="37"/>
      <c r="F298" s="91"/>
    </row>
    <row r="299" spans="2:6" x14ac:dyDescent="0.25">
      <c r="B299" s="28" t="str" cm="1">
        <f t="array" aca="1" ref="B299" ca="1">IF(AND(C299&lt;&gt;"",E299&lt;&gt;"")=TRUE, CELL("row",B299)-18,"")</f>
        <v/>
      </c>
      <c r="C299" s="29"/>
      <c r="D299" s="46"/>
      <c r="E299" s="37"/>
      <c r="F299" s="91"/>
    </row>
    <row r="300" spans="2:6" x14ac:dyDescent="0.25">
      <c r="B300" s="28" t="str" cm="1">
        <f t="array" aca="1" ref="B300" ca="1">IF(AND(C300&lt;&gt;"",E300&lt;&gt;"")=TRUE, CELL("row",B300)-18,"")</f>
        <v/>
      </c>
      <c r="C300" s="29"/>
      <c r="D300" s="46"/>
      <c r="E300" s="37"/>
      <c r="F300" s="91"/>
    </row>
    <row r="301" spans="2:6" x14ac:dyDescent="0.25">
      <c r="B301" s="28" t="str" cm="1">
        <f t="array" aca="1" ref="B301" ca="1">IF(AND(C301&lt;&gt;"",E301&lt;&gt;"")=TRUE, CELL("row",B301)-18,"")</f>
        <v/>
      </c>
      <c r="C301" s="29"/>
      <c r="D301" s="46"/>
      <c r="E301" s="37"/>
      <c r="F301" s="91"/>
    </row>
    <row r="302" spans="2:6" x14ac:dyDescent="0.25">
      <c r="B302" s="28" t="str" cm="1">
        <f t="array" aca="1" ref="B302" ca="1">IF(AND(C302&lt;&gt;"",E302&lt;&gt;"")=TRUE, CELL("row",B302)-18,"")</f>
        <v/>
      </c>
      <c r="C302" s="29"/>
      <c r="D302" s="46"/>
      <c r="E302" s="37"/>
      <c r="F302" s="91"/>
    </row>
    <row r="303" spans="2:6" x14ac:dyDescent="0.25">
      <c r="B303" s="28" t="str" cm="1">
        <f t="array" aca="1" ref="B303" ca="1">IF(AND(C303&lt;&gt;"",E303&lt;&gt;"")=TRUE, CELL("row",B303)-18,"")</f>
        <v/>
      </c>
      <c r="C303" s="29"/>
      <c r="D303" s="46"/>
      <c r="E303" s="37"/>
      <c r="F303" s="91"/>
    </row>
    <row r="304" spans="2:6" x14ac:dyDescent="0.25">
      <c r="B304" s="28" t="str" cm="1">
        <f t="array" aca="1" ref="B304" ca="1">IF(AND(C304&lt;&gt;"",E304&lt;&gt;"")=TRUE, CELL("row",B304)-18,"")</f>
        <v/>
      </c>
      <c r="C304" s="29"/>
      <c r="D304" s="46"/>
      <c r="E304" s="37"/>
      <c r="F304" s="91"/>
    </row>
    <row r="305" spans="1:6" x14ac:dyDescent="0.25">
      <c r="B305" s="28" t="str" cm="1">
        <f t="array" aca="1" ref="B305" ca="1">IF(AND(C305&lt;&gt;"",E305&lt;&gt;"")=TRUE, CELL("row",B305)-18,"")</f>
        <v/>
      </c>
      <c r="C305" s="29"/>
      <c r="D305" s="46"/>
      <c r="E305" s="37"/>
      <c r="F305" s="91"/>
    </row>
    <row r="306" spans="1:6" x14ac:dyDescent="0.25">
      <c r="B306" s="28" t="str" cm="1">
        <f t="array" aca="1" ref="B306" ca="1">IF(AND(C306&lt;&gt;"",E306&lt;&gt;"")=TRUE, CELL("row",B306)-18,"")</f>
        <v/>
      </c>
      <c r="C306" s="29"/>
      <c r="D306" s="46"/>
      <c r="E306" s="37"/>
      <c r="F306" s="91"/>
    </row>
    <row r="307" spans="1:6" x14ac:dyDescent="0.25">
      <c r="B307" s="28" t="str" cm="1">
        <f t="array" aca="1" ref="B307" ca="1">IF(AND(C307&lt;&gt;"",E307&lt;&gt;"")=TRUE, CELL("row",B307)-18,"")</f>
        <v/>
      </c>
      <c r="C307" s="29"/>
      <c r="D307" s="46"/>
      <c r="E307" s="37"/>
      <c r="F307" s="91"/>
    </row>
    <row r="308" spans="1:6" x14ac:dyDescent="0.25">
      <c r="B308" s="28" t="str" cm="1">
        <f t="array" aca="1" ref="B308" ca="1">IF(AND(C308&lt;&gt;"",E308&lt;&gt;"")=TRUE, CELL("row",B308)-18,"")</f>
        <v/>
      </c>
      <c r="C308" s="29"/>
      <c r="D308" s="46"/>
      <c r="E308" s="37"/>
      <c r="F308" s="91"/>
    </row>
    <row r="309" spans="1:6" x14ac:dyDescent="0.25">
      <c r="B309" s="28" t="str" cm="1">
        <f t="array" aca="1" ref="B309" ca="1">IF(AND(C309&lt;&gt;"",E309&lt;&gt;"")=TRUE, CELL("row",B309)-18,"")</f>
        <v/>
      </c>
      <c r="C309" s="29"/>
      <c r="D309" s="46"/>
      <c r="E309" s="37"/>
      <c r="F309" s="91"/>
    </row>
    <row r="310" spans="1:6" x14ac:dyDescent="0.25">
      <c r="B310" s="28" t="str" cm="1">
        <f t="array" aca="1" ref="B310" ca="1">IF(AND(C310&lt;&gt;"",E310&lt;&gt;"")=TRUE, CELL("row",B310)-18,"")</f>
        <v/>
      </c>
      <c r="C310" s="29"/>
      <c r="D310" s="46"/>
      <c r="E310" s="37"/>
      <c r="F310" s="88"/>
    </row>
    <row r="311" spans="1:6" x14ac:dyDescent="0.25">
      <c r="B311" s="28" t="str" cm="1">
        <f t="array" aca="1" ref="B311" ca="1">IF(AND(C311&lt;&gt;"",E311&lt;&gt;"")=TRUE, CELL("row",B311)-18,"")</f>
        <v/>
      </c>
      <c r="C311" s="29"/>
      <c r="D311" s="46"/>
      <c r="E311" s="37"/>
      <c r="F311" s="91"/>
    </row>
    <row r="312" spans="1:6" x14ac:dyDescent="0.25">
      <c r="B312" s="28" t="str" cm="1">
        <f t="array" aca="1" ref="B312" ca="1">IF(AND(C312&lt;&gt;"",E312&lt;&gt;"")=TRUE, CELL("row",B312)-18,"")</f>
        <v/>
      </c>
      <c r="C312" s="29"/>
      <c r="D312" s="46"/>
      <c r="E312" s="37"/>
      <c r="F312" s="91"/>
    </row>
    <row r="313" spans="1:6" x14ac:dyDescent="0.25">
      <c r="B313" s="28" t="str" cm="1">
        <f t="array" aca="1" ref="B313" ca="1">IF(AND(C313&lt;&gt;"",E313&lt;&gt;"")=TRUE, CELL("row",B313)-18,"")</f>
        <v/>
      </c>
      <c r="C313" s="29"/>
      <c r="D313" s="46"/>
      <c r="E313" s="37"/>
      <c r="F313" s="91"/>
    </row>
    <row r="314" spans="1:6" x14ac:dyDescent="0.25">
      <c r="A314" s="92" t="s">
        <v>53</v>
      </c>
      <c r="B314" s="45">
        <f ca="1">COUNTIF(B19:B313, "")</f>
        <v>295</v>
      </c>
      <c r="C314" s="45">
        <f>COUNTIF(C19:C313, "")</f>
        <v>295</v>
      </c>
      <c r="D314" s="45">
        <f>COUNTIF(D19:D313, "")</f>
        <v>221</v>
      </c>
      <c r="E314" s="44">
        <f>COUNTIF(E19:E313, "")</f>
        <v>222</v>
      </c>
      <c r="F314" s="91" t="s">
        <v>53</v>
      </c>
    </row>
    <row r="315" spans="1:6" ht="6.6" customHeight="1" x14ac:dyDescent="0.25">
      <c r="B315" s="1"/>
      <c r="C315" s="27"/>
      <c r="D315" s="1"/>
      <c r="E315" s="1"/>
      <c r="F315" s="91"/>
    </row>
  </sheetData>
  <mergeCells count="2">
    <mergeCell ref="G2:K2"/>
    <mergeCell ref="B17:E17"/>
  </mergeCells>
  <conditionalFormatting sqref="D19:D313">
    <cfRule type="cellIs" dxfId="4" priority="16" operator="equal">
      <formula>"Q"</formula>
    </cfRule>
    <cfRule type="cellIs" dxfId="3" priority="17" operator="equal">
      <formula>"T"</formula>
    </cfRule>
    <cfRule type="cellIs" dxfId="2" priority="18" operator="equal">
      <formula>"B"</formula>
    </cfRule>
    <cfRule type="cellIs" dxfId="1" priority="19" operator="equal">
      <formula>"F"</formula>
    </cfRule>
    <cfRule type="cellIs" dxfId="0" priority="20" operator="equal">
      <formula>"P"</formula>
    </cfRule>
  </conditionalFormatting>
  <dataValidations xWindow="90" yWindow="391" count="2">
    <dataValidation type="list" allowBlank="1" showInputMessage="1" showErrorMessage="1" prompt="   - (Press delete to clear)_x000a_i  - Information_x000a_T - To Do_x000a_B - Blocked_x000a_F - Fail_x000a_Q - Qualified Pass_x000a_P - Pass" sqref="D19:D313" xr:uid="{82A7EADB-1480-405F-AB2E-6962FBFFF165}">
      <formula1>"i,T,B,F,Q,P"</formula1>
    </dataValidation>
    <dataValidation type="whole" allowBlank="1" showInputMessage="1" showErrorMessage="1" promptTitle="Enter time in minutes (0-999)" prompt="Do no enter the &quot;m&quot;." sqref="C19:C313" xr:uid="{DDF9A720-D7EF-4D6B-87E6-3914070F8D73}">
      <formula1>0</formula1>
      <formula2>999</formula2>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ECF3-B3EE-4518-A64F-6E23BEA6EF6C}">
  <dimension ref="A1:Q18"/>
  <sheetViews>
    <sheetView zoomScaleNormal="100" workbookViewId="0">
      <selection activeCell="C10" sqref="C10"/>
    </sheetView>
  </sheetViews>
  <sheetFormatPr defaultColWidth="8.85546875" defaultRowHeight="15" x14ac:dyDescent="0.25"/>
  <cols>
    <col min="1" max="1" width="1.7109375" style="9" customWidth="1"/>
    <col min="2" max="2" width="3.85546875" style="9" bestFit="1" customWidth="1"/>
    <col min="3" max="3" width="46.7109375" style="9" customWidth="1"/>
    <col min="4" max="4" width="10.5703125" style="9" bestFit="1" customWidth="1"/>
    <col min="5" max="5" width="5.85546875" style="9" customWidth="1"/>
    <col min="6" max="16" width="5.42578125" style="9" customWidth="1"/>
    <col min="17" max="17" width="1.7109375" style="9" customWidth="1"/>
    <col min="18" max="16384" width="8.85546875" style="9"/>
  </cols>
  <sheetData>
    <row r="1" spans="1:17" ht="15.75" x14ac:dyDescent="0.25">
      <c r="A1" s="11"/>
      <c r="B1" s="36" t="s">
        <v>42</v>
      </c>
      <c r="C1" s="35"/>
      <c r="D1" s="10"/>
      <c r="E1" s="10"/>
      <c r="F1" s="10"/>
      <c r="G1" s="10"/>
      <c r="H1" s="10"/>
      <c r="I1" s="10"/>
      <c r="J1" s="10"/>
      <c r="K1" s="10"/>
      <c r="L1" s="10"/>
      <c r="M1" s="10"/>
      <c r="N1" s="10"/>
      <c r="O1" s="10"/>
      <c r="P1" s="10"/>
      <c r="Q1" s="11"/>
    </row>
    <row r="2" spans="1:17" ht="6.6" customHeight="1" x14ac:dyDescent="0.25">
      <c r="A2" s="11"/>
      <c r="B2" s="11"/>
      <c r="C2" s="11"/>
      <c r="D2" s="11"/>
      <c r="E2" s="11"/>
      <c r="F2" s="11"/>
      <c r="G2" s="11"/>
      <c r="H2" s="11"/>
      <c r="I2" s="11"/>
      <c r="J2" s="11"/>
      <c r="K2" s="11"/>
      <c r="L2" s="11"/>
      <c r="M2" s="11"/>
      <c r="N2" s="11"/>
      <c r="O2" s="11"/>
      <c r="P2" s="11"/>
      <c r="Q2" s="11"/>
    </row>
    <row r="3" spans="1:17" x14ac:dyDescent="0.25">
      <c r="A3" s="11"/>
      <c r="B3" s="100" t="s">
        <v>49</v>
      </c>
      <c r="C3" s="101" t="s">
        <v>47</v>
      </c>
      <c r="D3" s="102" t="s">
        <v>11</v>
      </c>
      <c r="E3" s="100" t="s">
        <v>31</v>
      </c>
      <c r="F3" s="102" t="s">
        <v>16</v>
      </c>
      <c r="G3" s="102"/>
      <c r="H3" s="102"/>
      <c r="I3" s="102"/>
      <c r="J3" s="102"/>
      <c r="K3" s="102"/>
      <c r="L3" s="102" t="s">
        <v>19</v>
      </c>
      <c r="M3" s="102"/>
      <c r="N3" s="102"/>
      <c r="O3" s="102"/>
      <c r="P3" s="102"/>
      <c r="Q3" s="11"/>
    </row>
    <row r="4" spans="1:17" ht="36.75" x14ac:dyDescent="0.25">
      <c r="A4" s="11"/>
      <c r="B4" s="100"/>
      <c r="C4" s="101"/>
      <c r="D4" s="102"/>
      <c r="E4" s="100"/>
      <c r="F4" s="32" t="s">
        <v>18</v>
      </c>
      <c r="G4" s="32" t="s">
        <v>8</v>
      </c>
      <c r="H4" s="32" t="s">
        <v>5</v>
      </c>
      <c r="I4" s="16" t="s">
        <v>52</v>
      </c>
      <c r="J4" s="32" t="s">
        <v>4</v>
      </c>
      <c r="K4" s="16" t="s">
        <v>7</v>
      </c>
      <c r="L4" s="16" t="s">
        <v>32</v>
      </c>
      <c r="M4" s="16" t="s">
        <v>33</v>
      </c>
      <c r="N4" s="32" t="s">
        <v>13</v>
      </c>
      <c r="O4" s="32" t="s">
        <v>14</v>
      </c>
      <c r="P4" s="16" t="s">
        <v>7</v>
      </c>
      <c r="Q4" s="11"/>
    </row>
    <row r="5" spans="1:17" x14ac:dyDescent="0.25">
      <c r="A5" s="11"/>
      <c r="B5" s="86" t="s">
        <v>40</v>
      </c>
      <c r="C5" s="14"/>
      <c r="D5" s="15"/>
      <c r="E5" s="58"/>
      <c r="F5" s="49"/>
      <c r="G5" s="49"/>
      <c r="H5" s="49"/>
      <c r="I5" s="49"/>
      <c r="J5" s="49"/>
      <c r="K5" s="13" t="str">
        <f t="shared" ref="K5:K16" si="0">IF(SUM(F5:J5)=0, "", SUM(F5:J5))</f>
        <v/>
      </c>
      <c r="L5" s="51"/>
      <c r="M5" s="51"/>
      <c r="N5" s="49"/>
      <c r="O5" s="49"/>
      <c r="P5" s="13" t="str">
        <f t="shared" ref="P5:P10" si="1">IF(SUM(L5:O5)=0, "", SUM(L5:O5))</f>
        <v/>
      </c>
      <c r="Q5" s="11"/>
    </row>
    <row r="6" spans="1:17" x14ac:dyDescent="0.25">
      <c r="A6" s="11"/>
      <c r="B6" s="86" t="s">
        <v>48</v>
      </c>
      <c r="C6" s="14"/>
      <c r="D6" s="15"/>
      <c r="E6" s="58"/>
      <c r="F6" s="49"/>
      <c r="G6" s="49"/>
      <c r="H6" s="49"/>
      <c r="I6" s="49"/>
      <c r="J6" s="49"/>
      <c r="K6" s="13" t="str">
        <f t="shared" si="0"/>
        <v/>
      </c>
      <c r="L6" s="51"/>
      <c r="M6" s="51"/>
      <c r="N6" s="49"/>
      <c r="O6" s="49"/>
      <c r="P6" s="13" t="str">
        <f t="shared" si="1"/>
        <v/>
      </c>
      <c r="Q6" s="11"/>
    </row>
    <row r="7" spans="1:17" x14ac:dyDescent="0.25">
      <c r="A7" s="11"/>
      <c r="B7" s="86" t="s">
        <v>57</v>
      </c>
      <c r="C7" s="14"/>
      <c r="D7" s="15"/>
      <c r="E7" s="58"/>
      <c r="F7" s="49"/>
      <c r="G7" s="49"/>
      <c r="H7" s="49"/>
      <c r="I7" s="49"/>
      <c r="J7" s="49"/>
      <c r="K7" s="13" t="str">
        <f t="shared" si="0"/>
        <v/>
      </c>
      <c r="L7" s="51"/>
      <c r="M7" s="51"/>
      <c r="N7" s="49"/>
      <c r="O7" s="49"/>
      <c r="P7" s="13" t="str">
        <f t="shared" si="1"/>
        <v/>
      </c>
      <c r="Q7" s="11"/>
    </row>
    <row r="8" spans="1:17" x14ac:dyDescent="0.25">
      <c r="A8" s="11"/>
      <c r="B8" s="86" t="s">
        <v>58</v>
      </c>
      <c r="C8" s="14"/>
      <c r="D8" s="15"/>
      <c r="E8" s="58"/>
      <c r="F8" s="49"/>
      <c r="G8" s="49"/>
      <c r="H8" s="49"/>
      <c r="I8" s="49"/>
      <c r="J8" s="49"/>
      <c r="K8" s="13" t="str">
        <f t="shared" si="0"/>
        <v/>
      </c>
      <c r="L8" s="51"/>
      <c r="M8" s="51"/>
      <c r="N8" s="49"/>
      <c r="O8" s="49"/>
      <c r="P8" s="13" t="str">
        <f t="shared" si="1"/>
        <v/>
      </c>
      <c r="Q8" s="11"/>
    </row>
    <row r="9" spans="1:17" x14ac:dyDescent="0.25">
      <c r="A9" s="11"/>
      <c r="B9" s="86" t="s">
        <v>59</v>
      </c>
      <c r="C9" s="14"/>
      <c r="D9" s="15"/>
      <c r="E9" s="58"/>
      <c r="F9" s="49"/>
      <c r="G9" s="49"/>
      <c r="H9" s="49"/>
      <c r="I9" s="49"/>
      <c r="J9" s="49"/>
      <c r="K9" s="13" t="str">
        <f t="shared" si="0"/>
        <v/>
      </c>
      <c r="L9" s="51"/>
      <c r="M9" s="51"/>
      <c r="N9" s="49"/>
      <c r="O9" s="49"/>
      <c r="P9" s="13" t="str">
        <f t="shared" si="1"/>
        <v/>
      </c>
      <c r="Q9" s="11"/>
    </row>
    <row r="10" spans="1:17" x14ac:dyDescent="0.25">
      <c r="A10" s="11"/>
      <c r="B10" s="86" t="s">
        <v>60</v>
      </c>
      <c r="C10" s="14"/>
      <c r="D10" s="15"/>
      <c r="E10" s="58"/>
      <c r="F10" s="49"/>
      <c r="G10" s="49"/>
      <c r="H10" s="49"/>
      <c r="I10" s="49"/>
      <c r="J10" s="49"/>
      <c r="K10" s="13" t="str">
        <f t="shared" si="0"/>
        <v/>
      </c>
      <c r="L10" s="51"/>
      <c r="M10" s="51"/>
      <c r="N10" s="49"/>
      <c r="O10" s="49"/>
      <c r="P10" s="13" t="str">
        <f t="shared" si="1"/>
        <v/>
      </c>
      <c r="Q10" s="11"/>
    </row>
    <row r="11" spans="1:17" x14ac:dyDescent="0.25">
      <c r="A11" s="11"/>
      <c r="B11" s="86" t="s">
        <v>61</v>
      </c>
      <c r="C11" s="14"/>
      <c r="D11" s="15"/>
      <c r="E11" s="58"/>
      <c r="F11" s="49"/>
      <c r="G11" s="49"/>
      <c r="H11" s="49"/>
      <c r="I11" s="49"/>
      <c r="J11" s="49"/>
      <c r="K11" s="13" t="str">
        <f t="shared" si="0"/>
        <v/>
      </c>
      <c r="L11" s="51"/>
      <c r="M11" s="51"/>
      <c r="N11" s="49"/>
      <c r="O11" s="49"/>
      <c r="P11" s="13" t="str">
        <f t="shared" ref="P11:P13" si="2">IF(SUM(L11:O11)=0, "", SUM(L11:O11))</f>
        <v/>
      </c>
      <c r="Q11" s="11"/>
    </row>
    <row r="12" spans="1:17" x14ac:dyDescent="0.25">
      <c r="A12" s="11"/>
      <c r="B12" s="86" t="s">
        <v>62</v>
      </c>
      <c r="C12" s="14"/>
      <c r="D12" s="15"/>
      <c r="E12" s="58"/>
      <c r="F12" s="49"/>
      <c r="G12" s="49"/>
      <c r="H12" s="49"/>
      <c r="I12" s="49"/>
      <c r="J12" s="49"/>
      <c r="K12" s="13" t="str">
        <f t="shared" si="0"/>
        <v/>
      </c>
      <c r="L12" s="51"/>
      <c r="M12" s="51"/>
      <c r="N12" s="49"/>
      <c r="O12" s="49"/>
      <c r="P12" s="13" t="str">
        <f t="shared" si="2"/>
        <v/>
      </c>
      <c r="Q12" s="11"/>
    </row>
    <row r="13" spans="1:17" x14ac:dyDescent="0.25">
      <c r="A13" s="11"/>
      <c r="B13" s="86" t="s">
        <v>63</v>
      </c>
      <c r="C13" s="14"/>
      <c r="D13" s="15"/>
      <c r="E13" s="58"/>
      <c r="F13" s="49"/>
      <c r="G13" s="49"/>
      <c r="H13" s="49"/>
      <c r="I13" s="49"/>
      <c r="J13" s="49"/>
      <c r="K13" s="13" t="str">
        <f t="shared" si="0"/>
        <v/>
      </c>
      <c r="L13" s="51"/>
      <c r="M13" s="51"/>
      <c r="N13" s="49"/>
      <c r="O13" s="49"/>
      <c r="P13" s="13" t="str">
        <f t="shared" si="2"/>
        <v/>
      </c>
      <c r="Q13" s="11"/>
    </row>
    <row r="14" spans="1:17" x14ac:dyDescent="0.25">
      <c r="A14" s="11"/>
      <c r="B14" s="86" t="s">
        <v>64</v>
      </c>
      <c r="C14" s="14"/>
      <c r="D14" s="15"/>
      <c r="E14" s="58"/>
      <c r="F14" s="49"/>
      <c r="G14" s="49"/>
      <c r="H14" s="49"/>
      <c r="I14" s="49"/>
      <c r="J14" s="49"/>
      <c r="K14" s="13" t="str">
        <f t="shared" si="0"/>
        <v/>
      </c>
      <c r="L14" s="51"/>
      <c r="M14" s="51"/>
      <c r="N14" s="49"/>
      <c r="O14" s="49"/>
      <c r="P14" s="13" t="str">
        <f t="shared" ref="P14:P16" si="3">IF(SUM(L14:O14)=0, "", SUM(L14:O14))</f>
        <v/>
      </c>
      <c r="Q14" s="11"/>
    </row>
    <row r="15" spans="1:17" x14ac:dyDescent="0.25">
      <c r="A15" s="11"/>
      <c r="B15" s="86" t="s">
        <v>65</v>
      </c>
      <c r="C15" s="14"/>
      <c r="D15" s="15"/>
      <c r="E15" s="58"/>
      <c r="F15" s="49"/>
      <c r="G15" s="49"/>
      <c r="H15" s="49"/>
      <c r="I15" s="49"/>
      <c r="J15" s="49"/>
      <c r="K15" s="13" t="str">
        <f t="shared" si="0"/>
        <v/>
      </c>
      <c r="L15" s="51"/>
      <c r="M15" s="51"/>
      <c r="N15" s="49"/>
      <c r="O15" s="49"/>
      <c r="P15" s="13" t="str">
        <f t="shared" ref="P15" si="4">IF(SUM(L15:O15)=0, "", SUM(L15:O15))</f>
        <v/>
      </c>
      <c r="Q15" s="11"/>
    </row>
    <row r="16" spans="1:17" x14ac:dyDescent="0.25">
      <c r="A16" s="11"/>
      <c r="B16" s="86" t="s">
        <v>66</v>
      </c>
      <c r="C16" s="14"/>
      <c r="D16" s="15"/>
      <c r="E16" s="58"/>
      <c r="F16" s="49"/>
      <c r="G16" s="49"/>
      <c r="H16" s="49"/>
      <c r="I16" s="49"/>
      <c r="J16" s="49"/>
      <c r="K16" s="13" t="str">
        <f t="shared" si="0"/>
        <v/>
      </c>
      <c r="L16" s="51"/>
      <c r="M16" s="51"/>
      <c r="N16" s="49"/>
      <c r="O16" s="49"/>
      <c r="P16" s="13" t="str">
        <f t="shared" si="3"/>
        <v/>
      </c>
      <c r="Q16" s="11"/>
    </row>
    <row r="17" spans="1:17" ht="3.6" customHeight="1" x14ac:dyDescent="0.25">
      <c r="A17" s="11"/>
      <c r="B17" s="87"/>
      <c r="C17" s="54"/>
      <c r="D17" s="52"/>
      <c r="E17" s="53"/>
      <c r="F17" s="89"/>
      <c r="G17" s="89"/>
      <c r="H17" s="89"/>
      <c r="I17" s="89"/>
      <c r="J17" s="89"/>
      <c r="K17" s="50"/>
      <c r="L17" s="89"/>
      <c r="M17" s="89"/>
      <c r="N17" s="89"/>
      <c r="O17" s="89"/>
      <c r="P17" s="50"/>
      <c r="Q17" s="11"/>
    </row>
    <row r="18" spans="1:17" ht="78.599999999999994" customHeight="1" x14ac:dyDescent="0.25">
      <c r="A18" s="11"/>
      <c r="B18" s="11"/>
      <c r="C18" s="11"/>
      <c r="D18" s="11"/>
      <c r="E18" s="11"/>
      <c r="F18" s="11"/>
      <c r="G18" s="11"/>
      <c r="H18" s="11"/>
      <c r="I18" s="11"/>
      <c r="J18" s="11"/>
      <c r="K18" s="11"/>
      <c r="L18" s="11"/>
      <c r="M18" s="11"/>
      <c r="N18" s="11"/>
      <c r="O18" s="11"/>
      <c r="P18" s="11"/>
      <c r="Q18" s="11"/>
    </row>
  </sheetData>
  <mergeCells count="6">
    <mergeCell ref="B3:B4"/>
    <mergeCell ref="C3:C4"/>
    <mergeCell ref="D3:D4"/>
    <mergeCell ref="L3:P3"/>
    <mergeCell ref="E3:E4"/>
    <mergeCell ref="F3:K3"/>
  </mergeCells>
  <phoneticPr fontId="13"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5"/>
  <sheetViews>
    <sheetView zoomScaleNormal="100" workbookViewId="0">
      <selection activeCell="S24" sqref="S24"/>
    </sheetView>
  </sheetViews>
  <sheetFormatPr defaultColWidth="9.28515625" defaultRowHeight="15" x14ac:dyDescent="0.25"/>
  <cols>
    <col min="1" max="1" width="1.7109375" style="1" customWidth="1"/>
    <col min="2" max="2" width="4" style="1" customWidth="1"/>
    <col min="3" max="7" width="5.42578125" style="1" customWidth="1"/>
    <col min="8" max="8" width="26.140625" style="1" customWidth="1"/>
    <col min="9" max="9" width="1.7109375" style="1" customWidth="1"/>
    <col min="10" max="10" width="3.85546875" style="1" customWidth="1"/>
    <col min="11" max="14" width="5.42578125" style="1" customWidth="1"/>
    <col min="15" max="15" width="30.7109375" style="1" customWidth="1"/>
    <col min="16" max="16" width="1.7109375" style="1" customWidth="1"/>
    <col min="17" max="17" width="6.7109375" style="2" customWidth="1"/>
    <col min="18" max="19" width="6.7109375" style="1" customWidth="1"/>
    <col min="20" max="16384" width="9.28515625" style="1"/>
  </cols>
  <sheetData>
    <row r="1" spans="2:17" s="75" customFormat="1" ht="23.25" x14ac:dyDescent="0.25">
      <c r="B1" s="113" t="s">
        <v>44</v>
      </c>
      <c r="C1" s="113"/>
      <c r="D1" s="113"/>
      <c r="E1" s="113"/>
      <c r="F1" s="113"/>
      <c r="G1" s="113"/>
      <c r="H1" s="113"/>
      <c r="I1" s="113"/>
      <c r="J1" s="113"/>
      <c r="K1" s="113"/>
      <c r="L1" s="113"/>
      <c r="M1" s="113"/>
      <c r="N1" s="113"/>
      <c r="O1" s="113"/>
      <c r="Q1" s="76"/>
    </row>
    <row r="2" spans="2:17" x14ac:dyDescent="0.25">
      <c r="C2" s="27" t="s">
        <v>25</v>
      </c>
      <c r="D2" s="112" t="str">
        <f>IF(Properties!$C$4=0, "", Properties!$C$4)</f>
        <v>PPDK IIUM Gombak</v>
      </c>
      <c r="E2" s="112"/>
      <c r="F2" s="112"/>
      <c r="G2" s="112"/>
      <c r="H2" s="112"/>
      <c r="M2" s="27" t="s">
        <v>41</v>
      </c>
      <c r="N2" s="111" t="str" cm="1">
        <f t="array" ref="N2">INDEX('Test Run Log'!$B$14:$B$16,MATCH(MAX(COUNTIF('Test Run Log'!$B$14:$B$16, "&lt;" &amp; 'Test Run Log'!$B$14:$B$16)), COUNTIF('Test Run Log'!$B$14:$B$16, "&lt;"&amp;'Test Run Log'!$B$14:$B$16),0))</f>
        <v>R12</v>
      </c>
      <c r="O2" s="111"/>
    </row>
    <row r="3" spans="2:17" x14ac:dyDescent="0.25">
      <c r="B3" s="73"/>
      <c r="C3" s="27" t="s">
        <v>23</v>
      </c>
      <c r="D3" s="111" t="str">
        <f>IF(Properties!$C$6=0, "", Properties!$C$6)</f>
        <v>Community-Based Rehabilitation Management System</v>
      </c>
      <c r="E3" s="111"/>
      <c r="F3" s="111"/>
      <c r="G3" s="111"/>
      <c r="H3" s="111"/>
      <c r="M3" s="27" t="s">
        <v>43</v>
      </c>
      <c r="N3" s="111" t="str">
        <f>IF(Properties!$C$8=0, "", Properties!$C$8)</f>
        <v>[Tester Name]</v>
      </c>
      <c r="O3" s="111"/>
    </row>
    <row r="4" spans="2:17" x14ac:dyDescent="0.25">
      <c r="B4" s="73"/>
      <c r="K4" s="27"/>
      <c r="L4" s="74"/>
      <c r="M4" s="27" t="s">
        <v>45</v>
      </c>
      <c r="N4" s="112">
        <f>SUM(C14:G14)</f>
        <v>0</v>
      </c>
      <c r="O4" s="112"/>
    </row>
    <row r="5" spans="2:17" x14ac:dyDescent="0.25">
      <c r="B5" s="73"/>
      <c r="K5" s="27"/>
      <c r="L5" s="74"/>
      <c r="M5" s="27" t="s">
        <v>46</v>
      </c>
      <c r="N5" s="112">
        <f>SUM(K14:M14)</f>
        <v>0</v>
      </c>
      <c r="O5" s="112"/>
    </row>
    <row r="6" spans="2:17" ht="6.6" customHeight="1" x14ac:dyDescent="0.25"/>
    <row r="7" spans="2:17" ht="15.75" x14ac:dyDescent="0.25">
      <c r="B7" s="106" t="str">
        <f xml:space="preserve"> "TEST CASE COUNTS - SNAPSHOT @ " &amp; $N$2</f>
        <v>TEST CASE COUNTS - SNAPSHOT @ R12</v>
      </c>
      <c r="C7" s="107"/>
      <c r="D7" s="107"/>
      <c r="E7" s="107"/>
      <c r="F7" s="107"/>
      <c r="G7" s="107"/>
      <c r="H7" s="108"/>
      <c r="J7" s="106" t="str">
        <f xml:space="preserve"> "DEFECTS - SNAPSHOT @ " &amp; $N$2</f>
        <v>DEFECTS - SNAPSHOT @ R12</v>
      </c>
      <c r="K7" s="107"/>
      <c r="L7" s="107"/>
      <c r="M7" s="107"/>
      <c r="N7" s="107"/>
      <c r="O7" s="108"/>
    </row>
    <row r="8" spans="2:17" x14ac:dyDescent="0.25">
      <c r="B8" s="59"/>
      <c r="C8" s="60"/>
      <c r="D8" s="60"/>
      <c r="E8" s="60"/>
      <c r="F8" s="60"/>
      <c r="G8" s="60"/>
      <c r="H8" s="61"/>
      <c r="J8" s="59"/>
      <c r="K8" s="60"/>
      <c r="L8" s="60"/>
      <c r="M8" s="60"/>
      <c r="N8" s="60"/>
      <c r="O8" s="61"/>
    </row>
    <row r="9" spans="2:17" x14ac:dyDescent="0.25">
      <c r="B9" s="62"/>
      <c r="H9" s="63"/>
      <c r="J9" s="62"/>
      <c r="O9" s="63"/>
    </row>
    <row r="10" spans="2:17" x14ac:dyDescent="0.25">
      <c r="B10" s="62"/>
      <c r="H10" s="63"/>
      <c r="J10" s="62"/>
      <c r="O10" s="63"/>
    </row>
    <row r="11" spans="2:17" x14ac:dyDescent="0.25">
      <c r="B11" s="62"/>
      <c r="H11" s="63"/>
      <c r="J11" s="62"/>
      <c r="O11" s="63"/>
    </row>
    <row r="12" spans="2:17" ht="5.45" customHeight="1" x14ac:dyDescent="0.25">
      <c r="B12" s="62"/>
      <c r="H12" s="63"/>
      <c r="J12" s="62"/>
      <c r="O12" s="63"/>
    </row>
    <row r="13" spans="2:17" s="56" customFormat="1" ht="12" x14ac:dyDescent="0.2">
      <c r="B13" s="64"/>
      <c r="C13" s="77" t="s">
        <v>18</v>
      </c>
      <c r="D13" s="78" t="s">
        <v>8</v>
      </c>
      <c r="E13" s="79" t="s">
        <v>5</v>
      </c>
      <c r="F13" s="90" t="s">
        <v>52</v>
      </c>
      <c r="G13" s="80" t="s">
        <v>4</v>
      </c>
      <c r="H13" s="65"/>
      <c r="J13" s="64"/>
      <c r="K13" s="81" t="s">
        <v>12</v>
      </c>
      <c r="L13" s="82" t="s">
        <v>13</v>
      </c>
      <c r="M13" s="83" t="s">
        <v>20</v>
      </c>
      <c r="O13" s="65"/>
      <c r="P13" s="57"/>
    </row>
    <row r="14" spans="2:17" s="56" customFormat="1" ht="12" x14ac:dyDescent="0.2">
      <c r="B14" s="84" t="str">
        <f>$N$2</f>
        <v>R12</v>
      </c>
      <c r="C14" s="85">
        <f>VLOOKUP($N$2,'Test Run Log'!$B$14:$K$16,5)</f>
        <v>0</v>
      </c>
      <c r="D14" s="85">
        <f>VLOOKUP($N$2,'Test Run Log'!$B$14:$K$16,6)</f>
        <v>0</v>
      </c>
      <c r="E14" s="85">
        <f>VLOOKUP($N$2,'Test Run Log'!$B$14:$K$16,7)</f>
        <v>0</v>
      </c>
      <c r="F14" s="85">
        <f>VLOOKUP($N$2,'Test Run Log'!$B$14:$K$16,8)</f>
        <v>0</v>
      </c>
      <c r="G14" s="85">
        <f>VLOOKUP($N$2,'Test Run Log'!$B$14:$K$16,9)</f>
        <v>0</v>
      </c>
      <c r="H14" s="65"/>
      <c r="J14" s="84" t="str">
        <f>$N$2</f>
        <v>R12</v>
      </c>
      <c r="K14" s="85">
        <f>VLOOKUP($N$2,'Test Run Log'!$B$14:$O$16,11)+VLOOKUP($N$2,'Test Run Log'!$B$14:$O$16,12)</f>
        <v>0</v>
      </c>
      <c r="L14" s="85">
        <f>VLOOKUP($N$2,'Test Run Log'!$B$14:$O$16,13)</f>
        <v>0</v>
      </c>
      <c r="M14" s="85">
        <f>VLOOKUP($N$2,'Test Run Log'!$B$14:$O$16,14)</f>
        <v>0</v>
      </c>
      <c r="O14" s="65"/>
      <c r="P14" s="57"/>
    </row>
    <row r="15" spans="2:17" s="56" customFormat="1" ht="5.45" customHeight="1" x14ac:dyDescent="0.2">
      <c r="B15" s="66"/>
      <c r="C15" s="67"/>
      <c r="D15" s="67"/>
      <c r="E15" s="67"/>
      <c r="F15" s="67"/>
      <c r="G15" s="67"/>
      <c r="H15" s="68"/>
      <c r="J15" s="66"/>
      <c r="K15" s="67"/>
      <c r="L15" s="67"/>
      <c r="M15" s="67"/>
      <c r="N15" s="69"/>
      <c r="O15" s="68"/>
      <c r="P15" s="57"/>
    </row>
    <row r="16" spans="2:17" ht="6.6" customHeight="1" x14ac:dyDescent="0.25"/>
    <row r="17" spans="2:15" ht="15.75" x14ac:dyDescent="0.25">
      <c r="B17" s="106" t="str">
        <f xml:space="preserve"> "TEST CASE COUNTS - TREND"</f>
        <v>TEST CASE COUNTS - TREND</v>
      </c>
      <c r="C17" s="107"/>
      <c r="D17" s="107"/>
      <c r="E17" s="107"/>
      <c r="F17" s="107"/>
      <c r="G17" s="107"/>
      <c r="H17" s="108"/>
      <c r="J17" s="106" t="str">
        <f xml:space="preserve"> "DEFECTS - TREND"</f>
        <v>DEFECTS - TREND</v>
      </c>
      <c r="K17" s="107"/>
      <c r="L17" s="107"/>
      <c r="M17" s="107"/>
      <c r="N17" s="107"/>
      <c r="O17" s="108"/>
    </row>
    <row r="28" spans="2:15" ht="6.6" customHeight="1" x14ac:dyDescent="0.25"/>
    <row r="29" spans="2:15" ht="15.75" x14ac:dyDescent="0.25">
      <c r="B29" s="106" t="str">
        <f xml:space="preserve"> "TEST CASE EXEC TIME - TREND"</f>
        <v>TEST CASE EXEC TIME - TREND</v>
      </c>
      <c r="C29" s="107"/>
      <c r="D29" s="107"/>
      <c r="E29" s="107"/>
      <c r="F29" s="107"/>
      <c r="G29" s="107"/>
      <c r="H29" s="108"/>
      <c r="J29" s="106" t="str">
        <f xml:space="preserve"> "DEFECTS - RELEASABILITY"</f>
        <v>DEFECTS - RELEASABILITY</v>
      </c>
      <c r="K29" s="107"/>
      <c r="L29" s="107"/>
      <c r="M29" s="107"/>
      <c r="N29" s="107"/>
      <c r="O29" s="108"/>
    </row>
    <row r="40" spans="1:15" ht="6.6" customHeight="1" x14ac:dyDescent="0.25"/>
    <row r="41" spans="1:15" ht="6.6" customHeight="1" x14ac:dyDescent="0.25"/>
    <row r="42" spans="1:15" ht="15.75" x14ac:dyDescent="0.25">
      <c r="B42" s="106" t="s">
        <v>34</v>
      </c>
      <c r="C42" s="107"/>
      <c r="D42" s="107"/>
      <c r="E42" s="107"/>
      <c r="F42" s="107"/>
      <c r="G42" s="107"/>
      <c r="H42" s="107"/>
      <c r="I42" s="107"/>
      <c r="J42" s="107"/>
      <c r="K42" s="107"/>
      <c r="L42" s="107"/>
      <c r="M42" s="107"/>
      <c r="N42" s="107"/>
      <c r="O42" s="108"/>
    </row>
    <row r="43" spans="1:15" x14ac:dyDescent="0.25">
      <c r="B43" s="71" t="s">
        <v>15</v>
      </c>
      <c r="C43" s="110" t="s">
        <v>35</v>
      </c>
      <c r="D43" s="110"/>
      <c r="E43" s="110"/>
      <c r="F43" s="110"/>
      <c r="G43" s="110"/>
      <c r="H43" s="110"/>
      <c r="I43" s="110"/>
      <c r="J43" s="110"/>
      <c r="K43" s="110"/>
      <c r="L43" s="110"/>
      <c r="M43" s="110"/>
      <c r="N43" s="110"/>
      <c r="O43" s="110"/>
    </row>
    <row r="44" spans="1:15" x14ac:dyDescent="0.25">
      <c r="B44" s="93"/>
      <c r="C44" s="103"/>
      <c r="D44" s="104"/>
      <c r="E44" s="104"/>
      <c r="F44" s="104"/>
      <c r="G44" s="104"/>
      <c r="H44" s="104"/>
      <c r="I44" s="104"/>
      <c r="J44" s="104"/>
      <c r="K44" s="104"/>
      <c r="L44" s="104"/>
      <c r="M44" s="104"/>
      <c r="N44" s="104"/>
      <c r="O44" s="105"/>
    </row>
    <row r="45" spans="1:15" x14ac:dyDescent="0.25">
      <c r="B45" s="93"/>
      <c r="C45" s="103"/>
      <c r="D45" s="104"/>
      <c r="E45" s="104"/>
      <c r="F45" s="104"/>
      <c r="G45" s="104"/>
      <c r="H45" s="104"/>
      <c r="I45" s="104"/>
      <c r="J45" s="104"/>
      <c r="K45" s="104"/>
      <c r="L45" s="104"/>
      <c r="M45" s="104"/>
      <c r="N45" s="104"/>
      <c r="O45" s="105"/>
    </row>
    <row r="46" spans="1:15" x14ac:dyDescent="0.25">
      <c r="B46" s="93"/>
      <c r="C46" s="103"/>
      <c r="D46" s="104"/>
      <c r="E46" s="104"/>
      <c r="F46" s="104"/>
      <c r="G46" s="104"/>
      <c r="H46" s="104"/>
      <c r="I46" s="104"/>
      <c r="J46" s="104"/>
      <c r="K46" s="104"/>
      <c r="L46" s="104"/>
      <c r="M46" s="104"/>
      <c r="N46" s="104"/>
      <c r="O46" s="105"/>
    </row>
    <row r="47" spans="1:15" x14ac:dyDescent="0.25">
      <c r="A47" s="4"/>
      <c r="B47" s="93"/>
      <c r="C47" s="103"/>
      <c r="D47" s="104"/>
      <c r="E47" s="104"/>
      <c r="F47" s="104"/>
      <c r="G47" s="104"/>
      <c r="H47" s="104"/>
      <c r="I47" s="104"/>
      <c r="J47" s="104"/>
      <c r="K47" s="104"/>
      <c r="L47" s="104"/>
      <c r="M47" s="104"/>
      <c r="N47" s="104"/>
      <c r="O47" s="105"/>
    </row>
    <row r="48" spans="1:15" x14ac:dyDescent="0.25">
      <c r="A48" s="8"/>
      <c r="B48" s="94"/>
      <c r="C48" s="103"/>
      <c r="D48" s="104"/>
      <c r="E48" s="104"/>
      <c r="F48" s="104"/>
      <c r="G48" s="104"/>
      <c r="H48" s="104"/>
      <c r="I48" s="104"/>
      <c r="J48" s="104"/>
      <c r="K48" s="104"/>
      <c r="L48" s="104"/>
      <c r="M48" s="104"/>
      <c r="N48" s="104"/>
      <c r="O48" s="105"/>
    </row>
    <row r="49" spans="1:15" x14ac:dyDescent="0.25">
      <c r="A49" s="3"/>
    </row>
    <row r="50" spans="1:15" ht="15.75" x14ac:dyDescent="0.25">
      <c r="B50" s="106" t="s">
        <v>36</v>
      </c>
      <c r="C50" s="107"/>
      <c r="D50" s="107"/>
      <c r="E50" s="107"/>
      <c r="F50" s="107"/>
      <c r="G50" s="107"/>
      <c r="H50" s="107"/>
      <c r="I50" s="107"/>
      <c r="J50" s="107"/>
      <c r="K50" s="107"/>
      <c r="L50" s="107"/>
      <c r="M50" s="107"/>
      <c r="N50" s="107"/>
      <c r="O50" s="108"/>
    </row>
    <row r="51" spans="1:15" x14ac:dyDescent="0.25">
      <c r="B51" s="70" t="s">
        <v>15</v>
      </c>
      <c r="C51" s="109" t="s">
        <v>35</v>
      </c>
      <c r="D51" s="109"/>
      <c r="E51" s="109"/>
      <c r="F51" s="109"/>
      <c r="G51" s="109"/>
      <c r="H51" s="109"/>
      <c r="I51" s="109"/>
      <c r="J51" s="109"/>
      <c r="K51" s="109"/>
      <c r="L51" s="109"/>
      <c r="M51" s="109"/>
      <c r="N51" s="109"/>
      <c r="O51" s="109"/>
    </row>
    <row r="52" spans="1:15" x14ac:dyDescent="0.25">
      <c r="B52" s="93"/>
      <c r="C52" s="103"/>
      <c r="D52" s="104"/>
      <c r="E52" s="104"/>
      <c r="F52" s="104"/>
      <c r="G52" s="104"/>
      <c r="H52" s="104"/>
      <c r="I52" s="104"/>
      <c r="J52" s="104"/>
      <c r="K52" s="104"/>
      <c r="L52" s="104"/>
      <c r="M52" s="104"/>
      <c r="N52" s="104"/>
      <c r="O52" s="105"/>
    </row>
    <row r="53" spans="1:15" x14ac:dyDescent="0.25">
      <c r="B53" s="93"/>
      <c r="C53" s="103"/>
      <c r="D53" s="104"/>
      <c r="E53" s="104"/>
      <c r="F53" s="104"/>
      <c r="G53" s="104"/>
      <c r="H53" s="104"/>
      <c r="I53" s="104"/>
      <c r="J53" s="104"/>
      <c r="K53" s="104"/>
      <c r="L53" s="104"/>
      <c r="M53" s="104"/>
      <c r="N53" s="104"/>
      <c r="O53" s="105"/>
    </row>
    <row r="54" spans="1:15" x14ac:dyDescent="0.25">
      <c r="B54" s="93"/>
      <c r="C54" s="103"/>
      <c r="D54" s="104"/>
      <c r="E54" s="104"/>
      <c r="F54" s="104"/>
      <c r="G54" s="104"/>
      <c r="H54" s="104"/>
      <c r="I54" s="104"/>
      <c r="J54" s="104"/>
      <c r="K54" s="104"/>
      <c r="L54" s="104"/>
      <c r="M54" s="104"/>
      <c r="N54" s="104"/>
      <c r="O54" s="105"/>
    </row>
    <row r="55" spans="1:15" x14ac:dyDescent="0.25">
      <c r="A55" s="4"/>
      <c r="B55" s="93"/>
      <c r="C55" s="103"/>
      <c r="D55" s="104"/>
      <c r="E55" s="104"/>
      <c r="F55" s="104"/>
      <c r="G55" s="104"/>
      <c r="H55" s="104"/>
      <c r="I55" s="104"/>
      <c r="J55" s="104"/>
      <c r="K55" s="104"/>
      <c r="L55" s="104"/>
      <c r="M55" s="104"/>
      <c r="N55" s="104"/>
      <c r="O55" s="105"/>
    </row>
    <row r="56" spans="1:15" x14ac:dyDescent="0.25">
      <c r="A56" s="8"/>
      <c r="B56" s="94"/>
      <c r="C56" s="103"/>
      <c r="D56" s="104"/>
      <c r="E56" s="104"/>
      <c r="F56" s="104"/>
      <c r="G56" s="104"/>
      <c r="H56" s="104"/>
      <c r="I56" s="104"/>
      <c r="J56" s="104"/>
      <c r="K56" s="104"/>
      <c r="L56" s="104"/>
      <c r="M56" s="104"/>
      <c r="N56" s="104"/>
      <c r="O56" s="105"/>
    </row>
    <row r="57" spans="1:15" x14ac:dyDescent="0.25">
      <c r="A57" s="3"/>
    </row>
    <row r="58" spans="1:15" ht="15.75" x14ac:dyDescent="0.25">
      <c r="B58" s="106" t="s">
        <v>37</v>
      </c>
      <c r="C58" s="107"/>
      <c r="D58" s="107"/>
      <c r="E58" s="107"/>
      <c r="F58" s="107"/>
      <c r="G58" s="107"/>
      <c r="H58" s="107"/>
      <c r="I58" s="107"/>
      <c r="J58" s="107"/>
      <c r="K58" s="107"/>
      <c r="L58" s="107"/>
      <c r="M58" s="107"/>
      <c r="N58" s="107"/>
      <c r="O58" s="108"/>
    </row>
    <row r="59" spans="1:15" x14ac:dyDescent="0.25">
      <c r="B59" s="70" t="s">
        <v>15</v>
      </c>
      <c r="C59" s="109" t="s">
        <v>35</v>
      </c>
      <c r="D59" s="109"/>
      <c r="E59" s="109"/>
      <c r="F59" s="109"/>
      <c r="G59" s="109"/>
      <c r="H59" s="109"/>
      <c r="I59" s="109"/>
      <c r="J59" s="109"/>
      <c r="K59" s="109"/>
      <c r="L59" s="109"/>
      <c r="M59" s="109"/>
      <c r="N59" s="109"/>
      <c r="O59" s="109"/>
    </row>
    <row r="60" spans="1:15" x14ac:dyDescent="0.25">
      <c r="B60" s="93"/>
      <c r="C60" s="103"/>
      <c r="D60" s="104"/>
      <c r="E60" s="104"/>
      <c r="F60" s="104"/>
      <c r="G60" s="104"/>
      <c r="H60" s="104"/>
      <c r="I60" s="104"/>
      <c r="J60" s="104"/>
      <c r="K60" s="104"/>
      <c r="L60" s="104"/>
      <c r="M60" s="104"/>
      <c r="N60" s="104"/>
      <c r="O60" s="105"/>
    </row>
    <row r="61" spans="1:15" x14ac:dyDescent="0.25">
      <c r="B61" s="93"/>
      <c r="C61" s="103"/>
      <c r="D61" s="104"/>
      <c r="E61" s="104"/>
      <c r="F61" s="104"/>
      <c r="G61" s="104"/>
      <c r="H61" s="104"/>
      <c r="I61" s="104"/>
      <c r="J61" s="104"/>
      <c r="K61" s="104"/>
      <c r="L61" s="104"/>
      <c r="M61" s="104"/>
      <c r="N61" s="104"/>
      <c r="O61" s="105"/>
    </row>
    <row r="62" spans="1:15" x14ac:dyDescent="0.25">
      <c r="B62" s="93"/>
      <c r="C62" s="103"/>
      <c r="D62" s="104"/>
      <c r="E62" s="104"/>
      <c r="F62" s="104"/>
      <c r="G62" s="104"/>
      <c r="H62" s="104"/>
      <c r="I62" s="104"/>
      <c r="J62" s="104"/>
      <c r="K62" s="104"/>
      <c r="L62" s="104"/>
      <c r="M62" s="104"/>
      <c r="N62" s="104"/>
      <c r="O62" s="105"/>
    </row>
    <row r="63" spans="1:15" x14ac:dyDescent="0.25">
      <c r="A63" s="4"/>
      <c r="B63" s="93"/>
      <c r="C63" s="103"/>
      <c r="D63" s="104"/>
      <c r="E63" s="104"/>
      <c r="F63" s="104"/>
      <c r="G63" s="104"/>
      <c r="H63" s="104"/>
      <c r="I63" s="104"/>
      <c r="J63" s="104"/>
      <c r="K63" s="104"/>
      <c r="L63" s="104"/>
      <c r="M63" s="104"/>
      <c r="N63" s="104"/>
      <c r="O63" s="105"/>
    </row>
    <row r="64" spans="1:15" x14ac:dyDescent="0.25">
      <c r="A64" s="8"/>
      <c r="B64" s="94"/>
      <c r="C64" s="103"/>
      <c r="D64" s="104"/>
      <c r="E64" s="104"/>
      <c r="F64" s="104"/>
      <c r="G64" s="104"/>
      <c r="H64" s="104"/>
      <c r="I64" s="104"/>
      <c r="J64" s="104"/>
      <c r="K64" s="104"/>
      <c r="L64" s="104"/>
      <c r="M64" s="104"/>
      <c r="N64" s="104"/>
      <c r="O64" s="105"/>
    </row>
    <row r="65" spans="1:17" x14ac:dyDescent="0.25">
      <c r="A65" s="5"/>
      <c r="B65" s="6"/>
    </row>
    <row r="66" spans="1:17" x14ac:dyDescent="0.25">
      <c r="A66" s="5"/>
      <c r="B66" s="6"/>
    </row>
    <row r="67" spans="1:17" x14ac:dyDescent="0.25">
      <c r="A67" s="5"/>
      <c r="B67" s="6"/>
    </row>
    <row r="68" spans="1:17" x14ac:dyDescent="0.25">
      <c r="A68" s="5"/>
      <c r="B68" s="6"/>
    </row>
    <row r="69" spans="1:17" x14ac:dyDescent="0.25">
      <c r="A69" s="5"/>
      <c r="B69" s="6"/>
    </row>
    <row r="70" spans="1:17" s="6" customFormat="1" x14ac:dyDescent="0.25">
      <c r="A70" s="3"/>
      <c r="B70" s="1"/>
      <c r="Q70" s="7"/>
    </row>
    <row r="71" spans="1:17" s="6" customFormat="1" x14ac:dyDescent="0.25">
      <c r="A71" s="3"/>
      <c r="B71" s="1"/>
      <c r="Q71" s="7"/>
    </row>
    <row r="72" spans="1:17" s="6" customFormat="1" x14ac:dyDescent="0.25">
      <c r="A72" s="3"/>
      <c r="B72" s="1"/>
      <c r="Q72" s="7"/>
    </row>
    <row r="73" spans="1:17" s="6" customFormat="1" x14ac:dyDescent="0.25">
      <c r="A73" s="3"/>
      <c r="B73" s="1"/>
      <c r="Q73" s="7"/>
    </row>
    <row r="74" spans="1:17" s="6" customFormat="1" x14ac:dyDescent="0.25">
      <c r="A74" s="3"/>
      <c r="B74" s="1"/>
      <c r="Q74" s="7"/>
    </row>
    <row r="75" spans="1:17" s="6" customFormat="1" x14ac:dyDescent="0.25">
      <c r="A75" s="3"/>
      <c r="B75" s="1"/>
      <c r="Q75" s="7"/>
    </row>
  </sheetData>
  <sortState xmlns:xlrd2="http://schemas.microsoft.com/office/spreadsheetml/2017/richdata2" ref="A60:B75">
    <sortCondition descending="1" ref="B60"/>
  </sortState>
  <mergeCells count="34">
    <mergeCell ref="D3:H3"/>
    <mergeCell ref="N4:O4"/>
    <mergeCell ref="N5:O5"/>
    <mergeCell ref="N3:O3"/>
    <mergeCell ref="B1:O1"/>
    <mergeCell ref="D2:H2"/>
    <mergeCell ref="N2:O2"/>
    <mergeCell ref="B58:O58"/>
    <mergeCell ref="C59:O59"/>
    <mergeCell ref="B42:O42"/>
    <mergeCell ref="C43:O43"/>
    <mergeCell ref="B50:O50"/>
    <mergeCell ref="C51:O51"/>
    <mergeCell ref="C44:O44"/>
    <mergeCell ref="C45:O45"/>
    <mergeCell ref="C46:O46"/>
    <mergeCell ref="C47:O47"/>
    <mergeCell ref="C48:O48"/>
    <mergeCell ref="C52:O52"/>
    <mergeCell ref="C53:O53"/>
    <mergeCell ref="C54:O54"/>
    <mergeCell ref="C55:O55"/>
    <mergeCell ref="C56:O56"/>
    <mergeCell ref="B7:H7"/>
    <mergeCell ref="B17:H17"/>
    <mergeCell ref="J7:O7"/>
    <mergeCell ref="J17:O17"/>
    <mergeCell ref="B29:H29"/>
    <mergeCell ref="J29:O29"/>
    <mergeCell ref="C60:O60"/>
    <mergeCell ref="C61:O61"/>
    <mergeCell ref="C62:O62"/>
    <mergeCell ref="C63:O63"/>
    <mergeCell ref="C64:O64"/>
  </mergeCells>
  <pageMargins left="0.5" right="0.5" top="0.5" bottom="0.5" header="0.3" footer="0.3"/>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CF503AC9CD2F54BA0E19C8B35D80C21" ma:contentTypeVersion="0" ma:contentTypeDescription="Create a new document." ma:contentTypeScope="" ma:versionID="0f804e1dfc7b5d27997e3a7d590482d2">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F3B54-18FF-425E-9D16-518FEEB123AC}">
  <ds:schemaRefs>
    <ds:schemaRef ds:uri="http://schemas.microsoft.com/sharepoint/v3/contenttype/forms"/>
  </ds:schemaRefs>
</ds:datastoreItem>
</file>

<file path=customXml/itemProps2.xml><?xml version="1.0" encoding="utf-8"?>
<ds:datastoreItem xmlns:ds="http://schemas.openxmlformats.org/officeDocument/2006/customXml" ds:itemID="{CFCDD9D7-1074-41A0-9C89-D34DB00D1A82}">
  <ds:schemaRefs>
    <ds:schemaRef ds:uri="http://schemas.microsoft.com/DataMashup"/>
  </ds:schemaRefs>
</ds:datastoreItem>
</file>

<file path=customXml/itemProps3.xml><?xml version="1.0" encoding="utf-8"?>
<ds:datastoreItem xmlns:ds="http://schemas.openxmlformats.org/officeDocument/2006/customXml" ds:itemID="{8B77CED7-C41E-49ED-87B0-E2E378B9D0FB}">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7123125C-4609-4D51-BFBF-97B888D91F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Properties</vt:lpstr>
      <vt:lpstr>Test Cases</vt:lpstr>
      <vt:lpstr>Test Run Log</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2025-10-13T13:13:02Z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0x0101007CF503AC9CD2F54BA0E19C8B35D80C21</vt:lpwstr>
  </property>
</Properties>
</file>